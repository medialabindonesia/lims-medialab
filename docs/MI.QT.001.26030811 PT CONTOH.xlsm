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EDIALAB\Marketing\04 QUOTATION\QUOTATION 2026\"/>
    </mc:Choice>
  </mc:AlternateContent>
  <bookViews>
    <workbookView xWindow="4140" yWindow="4215" windowWidth="21600" windowHeight="11385" activeTab="2"/>
  </bookViews>
  <sheets>
    <sheet name="1 Customer Information" sheetId="4" r:id="rId1"/>
    <sheet name="2 Quotation (lama)" sheetId="18" state="hidden" r:id="rId2"/>
    <sheet name="2 Quotation" sheetId="5" r:id="rId3"/>
    <sheet name="3 COC" sheetId="10" r:id="rId4"/>
    <sheet name="4 STPS" sheetId="13" r:id="rId5"/>
    <sheet name="5 INVOICE" sheetId="19" r:id="rId6"/>
  </sheets>
  <externalReferences>
    <externalReference r:id="rId7"/>
  </externalReferences>
  <definedNames>
    <definedName name="_xlnm.Print_Area" localSheetId="0">'1 Customer Information'!$A$1:$B$35</definedName>
    <definedName name="_xlnm.Print_Area" localSheetId="2">'2 Quotation'!$A$1:$L$139</definedName>
    <definedName name="_xlnm.Print_Area" localSheetId="1">'2 Quotation (lama)'!$A$1:$L$80</definedName>
    <definedName name="_xlnm.Print_Area" localSheetId="3">'3 COC'!$A$1:$K$78</definedName>
    <definedName name="_xlnm.Print_Area" localSheetId="4">'4 STPS'!$A$1:$H$40</definedName>
    <definedName name="_xlnm.Print_Titles" localSheetId="2">'2 Quotation'!$1:$8</definedName>
    <definedName name="_xlnm.Print_Titles" localSheetId="1">'2 Quotation (lama)'!$1:$8</definedName>
    <definedName name="_xlnm.Print_Titles" localSheetId="3">'3 COC'!$1:$5</definedName>
  </definedNames>
  <calcPr calcId="152511"/>
</workbook>
</file>

<file path=xl/calcChain.xml><?xml version="1.0" encoding="utf-8"?>
<calcChain xmlns="http://schemas.openxmlformats.org/spreadsheetml/2006/main">
  <c r="A31" i="10" l="1"/>
  <c r="A32" i="10"/>
  <c r="A35" i="10" s="1"/>
  <c r="A33" i="10"/>
  <c r="A34" i="10"/>
  <c r="A16" i="10"/>
  <c r="A19" i="10" s="1"/>
  <c r="A17" i="10"/>
  <c r="A18" i="10"/>
  <c r="A36" i="10" l="1"/>
  <c r="A20" i="10"/>
  <c r="A21" i="10" s="1"/>
  <c r="L104" i="5"/>
  <c r="A37" i="10" l="1"/>
  <c r="A38" i="10" s="1"/>
  <c r="A22" i="10"/>
  <c r="L36" i="5"/>
  <c r="L48" i="5"/>
  <c r="L51" i="5"/>
  <c r="L58" i="5"/>
  <c r="L61" i="5"/>
  <c r="L98" i="5"/>
  <c r="L97" i="5"/>
  <c r="L96" i="5"/>
  <c r="L101" i="5"/>
  <c r="A39" i="10" l="1"/>
  <c r="A24" i="10"/>
  <c r="A23" i="10"/>
  <c r="L7" i="19"/>
  <c r="A40" i="10" l="1"/>
  <c r="A25" i="10"/>
  <c r="F13" i="10"/>
  <c r="A41" i="10" l="1"/>
  <c r="A42" i="10"/>
  <c r="A43" i="10"/>
  <c r="A44" i="10" s="1"/>
  <c r="A26" i="10"/>
  <c r="J7" i="10"/>
  <c r="J6" i="10"/>
  <c r="A45" i="10" l="1"/>
  <c r="A50" i="10"/>
  <c r="A51" i="10" s="1"/>
  <c r="A52" i="10" s="1"/>
  <c r="A46" i="10"/>
  <c r="A48" i="10"/>
  <c r="A49" i="10" s="1"/>
  <c r="A47" i="10"/>
  <c r="A27" i="10"/>
  <c r="B27" i="4"/>
  <c r="B20" i="4"/>
  <c r="B12" i="4"/>
  <c r="D14" i="5"/>
  <c r="A53" i="10" l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28" i="10"/>
  <c r="A29" i="10" s="1"/>
  <c r="A30" i="10" s="1"/>
  <c r="B22" i="4"/>
  <c r="B21" i="4"/>
  <c r="B19" i="4"/>
  <c r="B18" i="4"/>
  <c r="I111" i="5" l="1"/>
  <c r="A112" i="5"/>
  <c r="E112" i="5"/>
  <c r="I112" i="5"/>
  <c r="I113" i="5"/>
  <c r="L106" i="5" l="1"/>
  <c r="L107" i="5" s="1"/>
  <c r="I57" i="18"/>
  <c r="G57" i="18"/>
  <c r="E57" i="18"/>
  <c r="C57" i="18"/>
  <c r="A57" i="18"/>
  <c r="I56" i="18"/>
  <c r="E56" i="18"/>
  <c r="A56" i="18"/>
  <c r="I55" i="18"/>
  <c r="E55" i="18"/>
  <c r="A55" i="18"/>
  <c r="I54" i="18"/>
  <c r="E54" i="18"/>
  <c r="A54" i="18"/>
  <c r="L45" i="18"/>
  <c r="L44" i="18"/>
  <c r="L43" i="18"/>
  <c r="K15" i="18"/>
  <c r="E15" i="18"/>
  <c r="A15" i="18"/>
  <c r="G14" i="18"/>
  <c r="E14" i="18"/>
  <c r="C14" i="18"/>
  <c r="A14" i="18"/>
  <c r="E13" i="18"/>
  <c r="A13" i="18"/>
  <c r="E12" i="18"/>
  <c r="A12" i="18"/>
  <c r="E11" i="18"/>
  <c r="A11" i="18"/>
  <c r="L48" i="18" l="1"/>
  <c r="L50" i="18" s="1"/>
  <c r="L51" i="18" s="1"/>
  <c r="B32" i="4" l="1"/>
  <c r="I110" i="5" s="1"/>
  <c r="B29" i="4"/>
  <c r="F113" i="5" s="1"/>
  <c r="B28" i="4"/>
  <c r="E113" i="5" s="1"/>
  <c r="B26" i="4"/>
  <c r="E111" i="5" s="1"/>
  <c r="B25" i="4"/>
  <c r="E110" i="5" s="1"/>
  <c r="D113" i="5"/>
  <c r="A113" i="5"/>
  <c r="A111" i="5"/>
  <c r="A110" i="5"/>
  <c r="B15" i="4"/>
  <c r="B14" i="4"/>
  <c r="B14" i="19" s="1"/>
  <c r="B13" i="4"/>
  <c r="B13" i="19" s="1"/>
  <c r="B11" i="4"/>
  <c r="A12" i="19" s="1"/>
  <c r="B10" i="4"/>
  <c r="A11" i="19" s="1"/>
  <c r="D23" i="13" l="1"/>
  <c r="B36" i="13" l="1"/>
  <c r="B35" i="13"/>
  <c r="E13" i="5" l="1"/>
  <c r="A13" i="5"/>
  <c r="F6" i="10" l="1"/>
  <c r="C12" i="10" l="1"/>
  <c r="C11" i="10"/>
  <c r="C10" i="10"/>
  <c r="C9" i="10"/>
  <c r="C8" i="10"/>
  <c r="C7" i="10"/>
  <c r="C6" i="10"/>
  <c r="F14" i="5" l="1"/>
  <c r="E15" i="5"/>
  <c r="E14" i="5"/>
  <c r="E12" i="5"/>
  <c r="E11" i="5"/>
  <c r="C13" i="10" l="1"/>
  <c r="A15" i="5" l="1"/>
  <c r="A14" i="5"/>
  <c r="A12" i="5"/>
  <c r="A11" i="5"/>
  <c r="K15" i="5"/>
</calcChain>
</file>

<file path=xl/sharedStrings.xml><?xml version="1.0" encoding="utf-8"?>
<sst xmlns="http://schemas.openxmlformats.org/spreadsheetml/2006/main" count="485" uniqueCount="327">
  <si>
    <t>Nama Pelanggan</t>
  </si>
  <si>
    <t>:</t>
  </si>
  <si>
    <t>No.</t>
  </si>
  <si>
    <t>Bank Mandiri KCP Bekasi Jatiasih</t>
  </si>
  <si>
    <t>A/c No. 156-00-0457633-8</t>
  </si>
  <si>
    <t>Bekasi,</t>
  </si>
  <si>
    <t>Transportation (days)</t>
  </si>
  <si>
    <t>Email</t>
  </si>
  <si>
    <t>Kontak Person</t>
  </si>
  <si>
    <t>BENI</t>
  </si>
  <si>
    <t>Kebagusan Pasar Minggu</t>
  </si>
  <si>
    <t>Alamat</t>
  </si>
  <si>
    <t>Jakarta Selatan</t>
  </si>
  <si>
    <t>Kab/Kotamadya</t>
  </si>
  <si>
    <t>DKI Jakarta</t>
  </si>
  <si>
    <t>Propinsi</t>
  </si>
  <si>
    <t>69.731.704.8-646.000</t>
  </si>
  <si>
    <t>NPWP</t>
  </si>
  <si>
    <t>Alamat NPWP</t>
  </si>
  <si>
    <t>Telp</t>
  </si>
  <si>
    <t>Fax</t>
  </si>
  <si>
    <t>Dengan Hormat,</t>
  </si>
  <si>
    <t>Total</t>
  </si>
  <si>
    <t>B. Sampling</t>
  </si>
  <si>
    <t>Engineer fee (days)</t>
  </si>
  <si>
    <t>Isokinetic Engineer fee (days)</t>
  </si>
  <si>
    <t>Instruments fee (days)</t>
  </si>
  <si>
    <t>Accommodation (Hotel and Meals/days)</t>
  </si>
  <si>
    <t>Mob and Demob</t>
  </si>
  <si>
    <t xml:space="preserve">Over baggage </t>
  </si>
  <si>
    <t>VAT</t>
  </si>
  <si>
    <t>TOTAL (IDR)</t>
  </si>
  <si>
    <t>Minimum order Rp. 300.000,00</t>
  </si>
  <si>
    <t>PT MEDIALAB INDONESIA</t>
  </si>
  <si>
    <t>Adm. Marketing</t>
  </si>
  <si>
    <t>CHAIN OF CUSTODY (COC)</t>
  </si>
  <si>
    <t>Distribution and Verification</t>
  </si>
  <si>
    <t>Tanggal</t>
  </si>
  <si>
    <t>Nama</t>
  </si>
  <si>
    <t>Jabatan</t>
  </si>
  <si>
    <t>Dengan ini memberikan tugas kepada:</t>
  </si>
  <si>
    <t>Demikian surat tugas ini dibuat untuk dipergunakan sebagaimana mestinya.</t>
  </si>
  <si>
    <t>PT Medialab Indonesia</t>
  </si>
  <si>
    <t>TAT Requested</t>
  </si>
  <si>
    <t>a.</t>
  </si>
  <si>
    <t>b.</t>
  </si>
  <si>
    <t>c.</t>
  </si>
  <si>
    <t>d.</t>
  </si>
  <si>
    <t>A/n.: PT MEDIALAB INDONESIA</t>
  </si>
  <si>
    <t>Barcode</t>
  </si>
  <si>
    <t>Outdoor Ambient Air</t>
  </si>
  <si>
    <t>Ambient Air Quality - Noise</t>
  </si>
  <si>
    <t>Ambient Air Quality - Odor Analysis</t>
  </si>
  <si>
    <t>Air Emissions - Stationary Source</t>
  </si>
  <si>
    <t>Vehicle Emissions</t>
  </si>
  <si>
    <t>Clean Water</t>
  </si>
  <si>
    <t>Drinking Water</t>
  </si>
  <si>
    <t>Surface Water</t>
  </si>
  <si>
    <t>Sea Water</t>
  </si>
  <si>
    <t>Aquatic Biota</t>
  </si>
  <si>
    <t>Waste Water</t>
  </si>
  <si>
    <t>Industrial Waste Water</t>
  </si>
  <si>
    <t>Domestic Waste Water</t>
  </si>
  <si>
    <t>Solid Waste</t>
  </si>
  <si>
    <t>Liquid Waste</t>
  </si>
  <si>
    <t>Indoor Ambient Air Quality - Chemical</t>
  </si>
  <si>
    <t>Indoor Ambient Air Quality - Physical</t>
  </si>
  <si>
    <t>Indoor Ambient Air Quality - Biological</t>
  </si>
  <si>
    <t>Ergonomics Assessment</t>
  </si>
  <si>
    <t>Psychosocial Assessment</t>
  </si>
  <si>
    <t>Biological Exposure Indices</t>
  </si>
  <si>
    <t>Email 1</t>
  </si>
  <si>
    <t>Email 2</t>
  </si>
  <si>
    <t>Email 3</t>
  </si>
  <si>
    <t>Email 4</t>
  </si>
  <si>
    <t>Testing Objectives</t>
  </si>
  <si>
    <t>Sampling by</t>
  </si>
  <si>
    <t>Medialab</t>
  </si>
  <si>
    <t>Pemantauan rutin</t>
  </si>
  <si>
    <t>URGENT</t>
  </si>
  <si>
    <t>Customer</t>
  </si>
  <si>
    <t>Pengawasan</t>
  </si>
  <si>
    <t>NORMAL</t>
  </si>
  <si>
    <t>Third Party</t>
  </si>
  <si>
    <t>Pembuktian kasus</t>
  </si>
  <si>
    <t>Penelitian</t>
  </si>
  <si>
    <t>Lainnya</t>
  </si>
  <si>
    <t>Email                     :  info@medialab.co.id | Website: www.medialab.co.id</t>
  </si>
  <si>
    <t>Kantor Pusat         : Jl. Jatiwangi No. 44 Kamurang Kel. Cikedokan
                                    Kec. Cikarang Barat. Kab. Bekasi 17530 Jawa Barat</t>
  </si>
  <si>
    <t>Cabang Sidoarjo :  Jl. Kahuripan Nirwana 29 W, Desa Entelsewu, Kec. Buduran
                                   Kab. Sidoarjo, 61226 Jawa Timur Indonesia</t>
  </si>
  <si>
    <t>SURAT PENAWARAN</t>
  </si>
  <si>
    <t>Kepada pelanggan yang terhormat,</t>
  </si>
  <si>
    <t>Bersama ini kami sampaikan penawaran harga sebagai berikut :</t>
  </si>
  <si>
    <r>
      <t>Sub Total</t>
    </r>
    <r>
      <rPr>
        <vertAlign val="superscript"/>
        <sz val="11"/>
        <rFont val="Calibri Light"/>
        <family val="2"/>
      </rPr>
      <t>2</t>
    </r>
  </si>
  <si>
    <t>INFORMASI PELANGGAN</t>
  </si>
  <si>
    <t>INFORMASI PENAGIHAN</t>
  </si>
  <si>
    <t>Berlaku Hingga</t>
  </si>
  <si>
    <t>Deskripsi</t>
  </si>
  <si>
    <t>Regulasi</t>
  </si>
  <si>
    <r>
      <t>Parameter Uji</t>
    </r>
    <r>
      <rPr>
        <vertAlign val="superscript"/>
        <sz val="11"/>
        <color theme="1"/>
        <rFont val="Calibri Light"/>
        <family val="2"/>
      </rPr>
      <t>1</t>
    </r>
  </si>
  <si>
    <t>Metode</t>
  </si>
  <si>
    <t>Durasi Sampling</t>
  </si>
  <si>
    <t>Harga</t>
  </si>
  <si>
    <t>A. Pengujian Laboratorium</t>
  </si>
  <si>
    <t>Biaya Transportasi (hari)</t>
  </si>
  <si>
    <t>Biaya Teknisi (hari)</t>
  </si>
  <si>
    <t>INFORMASI PEMBAYARAN</t>
  </si>
  <si>
    <t>LOKASI SAMPLING</t>
  </si>
  <si>
    <t>ALAMAT PENGIRIMAN DOKUMEN</t>
  </si>
  <si>
    <t>EMAIL PENERIMA</t>
  </si>
  <si>
    <t>Parameter tidak terakreditasi ditandai dengan *</t>
  </si>
  <si>
    <t>Pelanggan harus menyediakan kondisi lokasi yang aman untuk memastikan keamanan proses pengambilan sampel. Jika ditemukan kondisi tidak aman, maka proses pengambilan sampel akan dihentikan hingga kondisi memenuhi persyaratan</t>
  </si>
  <si>
    <t>Kondisi yang tidak terduga (cuaca buruk, bencana alam, kondisi lokasi yang tidak aman) yang mengakibatkan tertundanya proses sampling akan dibebankan kepada pelanggan</t>
  </si>
  <si>
    <t>Dibuat Oleh,</t>
  </si>
  <si>
    <t>Diketahui Oleh,</t>
  </si>
  <si>
    <r>
      <t>Disetujui Oleh,</t>
    </r>
    <r>
      <rPr>
        <vertAlign val="superscript"/>
        <sz val="11"/>
        <rFont val="Calibri Light"/>
        <family val="2"/>
      </rPr>
      <t>3</t>
    </r>
  </si>
  <si>
    <t>Yang bertanda tangan dibawah ini:</t>
  </si>
  <si>
    <t>Nama Perusahaan</t>
  </si>
  <si>
    <t>Petugas Pengambil Contoh</t>
  </si>
  <si>
    <t>Tgl.</t>
  </si>
  <si>
    <r>
      <t xml:space="preserve">Silakan kirim </t>
    </r>
    <r>
      <rPr>
        <i/>
        <sz val="10"/>
        <rFont val="Calibri Light"/>
        <family val="2"/>
      </rPr>
      <t>Purchase Order</t>
    </r>
    <r>
      <rPr>
        <sz val="10"/>
        <rFont val="Calibri Light"/>
        <family val="2"/>
      </rPr>
      <t xml:space="preserve"> (PO) atau Surat Perintah Kerja (SPK) Anda ke fax atau email kami. Atau Anda dapat menandatangani surat penawaran harga ini sebagai dokumen persetujuan dan mengirimkannya kembali kepada kami</t>
    </r>
  </si>
  <si>
    <t>Jadwal sampling akan diinformasikan setelah PO/SPK/Persetujuan Penawaran yang disetujui diterima</t>
  </si>
  <si>
    <r>
      <t>Fasilitas Penunjang seperti</t>
    </r>
    <r>
      <rPr>
        <i/>
        <sz val="10"/>
        <rFont val="Calibri Light"/>
        <family val="2"/>
      </rPr>
      <t xml:space="preserve"> Board Desk</t>
    </r>
    <r>
      <rPr>
        <sz val="10"/>
        <rFont val="Calibri Light"/>
        <family val="2"/>
      </rPr>
      <t>, Tangga, dan Listrik di lokasi harus disediakan oleh Pelanggan</t>
    </r>
  </si>
  <si>
    <r>
      <t>Hasil akan dikirim 14 hari kerja (</t>
    </r>
    <r>
      <rPr>
        <i/>
        <sz val="10"/>
        <rFont val="Calibri Light"/>
        <family val="2"/>
      </rPr>
      <t>Normal Service</t>
    </r>
    <r>
      <rPr>
        <sz val="10"/>
        <rFont val="Calibri Light"/>
        <family val="2"/>
      </rPr>
      <t>) setelah sampel diterima di Laboratorium PT Medialab Indonesia</t>
    </r>
  </si>
  <si>
    <r>
      <t xml:space="preserve">Jangka waktu pembayaran adalah 30 hari setelah </t>
    </r>
    <r>
      <rPr>
        <i/>
        <sz val="10"/>
        <rFont val="Calibri Light"/>
        <family val="2"/>
      </rPr>
      <t>invoice</t>
    </r>
    <r>
      <rPr>
        <sz val="10"/>
        <rFont val="Calibri Light"/>
        <family val="2"/>
      </rPr>
      <t xml:space="preserve"> diterima</t>
    </r>
  </si>
  <si>
    <t>PT. MEDIALAB INDONESIA</t>
  </si>
  <si>
    <t>Cabang Sidoarjo   : Jl. Kahuripan Nirwana No. 29 W, Desa Entelsewu Kec. Buduran, Kab. Sidoarjo, 61213 Jawa Timur</t>
  </si>
  <si>
    <r>
      <t xml:space="preserve"> </t>
    </r>
    <r>
      <rPr>
        <sz val="8"/>
        <color rgb="FF6D6E71"/>
        <rFont val="Arial"/>
        <family val="2"/>
      </rPr>
      <t>Telp. (+6221) 28517576 / 2851757</t>
    </r>
  </si>
  <si>
    <t>www.medialab.co.id</t>
  </si>
  <si>
    <t>info@medialab.co.id</t>
  </si>
  <si>
    <t>Alamat 1</t>
  </si>
  <si>
    <t>Alamat 2</t>
  </si>
  <si>
    <t>Tlp</t>
  </si>
  <si>
    <t>ALAMAT EMAIL PENERIMA</t>
  </si>
  <si>
    <t>Biaya Sewa Alat</t>
  </si>
  <si>
    <t>Syarat dan Ketentuan</t>
  </si>
  <si>
    <t>Pelanggan</t>
  </si>
  <si>
    <t>Marketing</t>
  </si>
  <si>
    <t>Kantor Pusat         :  Jl. Jatiwangi No. 44 Kamurang Kel. Cikedokan Kec. Cikarang Barat
                                 Kab. Bekasi 17530 Jawa Barat</t>
  </si>
  <si>
    <t>Cabang Sidoarjo   : Jl. Kahuripan Nirwana No. 29 W, Desa Entelsewu Kec. Buduran,
                                Kab. Sidoarjo, 61213 Jawa Timur</t>
  </si>
  <si>
    <t>No. Penawaran</t>
  </si>
  <si>
    <t>Personel yang dihubungi</t>
  </si>
  <si>
    <t xml:space="preserve">        Fax. (+6221) 22143010</t>
  </si>
  <si>
    <t>Jumlah
(Titik)</t>
  </si>
  <si>
    <t>Elok Dian K</t>
  </si>
  <si>
    <t>Manajer Teknik</t>
  </si>
  <si>
    <t>SURAT TUGAS PENGAMBILAN SAMPEL</t>
  </si>
  <si>
    <t xml:space="preserve">                                                                        No.</t>
  </si>
  <si>
    <t>untuk melakukan pengambilan sampel berdasarkan :</t>
  </si>
  <si>
    <t>Customer Sample ID/Location</t>
  </si>
  <si>
    <r>
      <t>Parameter Uji</t>
    </r>
    <r>
      <rPr>
        <vertAlign val="superscript"/>
        <sz val="11"/>
        <color theme="1"/>
        <rFont val="Arial Narrow"/>
        <family val="2"/>
      </rPr>
      <t>1</t>
    </r>
  </si>
  <si>
    <r>
      <t>Sub Total</t>
    </r>
    <r>
      <rPr>
        <vertAlign val="superscript"/>
        <sz val="11"/>
        <rFont val="Arial Narrow"/>
        <family val="2"/>
      </rPr>
      <t>2</t>
    </r>
  </si>
  <si>
    <t>Qty</t>
  </si>
  <si>
    <t>Bank Mandiri KCP Bekasi Jatimakmur</t>
  </si>
  <si>
    <t>Regulasi (Matriks)</t>
  </si>
  <si>
    <t>Head Office &amp; Laboratory</t>
  </si>
  <si>
    <t xml:space="preserve">www.medialab.co.id </t>
  </si>
  <si>
    <t>Jl. Jatiwangi No. 44 Kamurang, Kel. Cikedokan, Kec. Cikarang Barat. Kab. Bekasi 17530 Jawa Barat</t>
  </si>
  <si>
    <t>Telp. (+6221) 28517576</t>
  </si>
  <si>
    <t xml:space="preserve">Fax. (+6221) 22143010  </t>
  </si>
  <si>
    <r>
      <t xml:space="preserve">Silakan kirim </t>
    </r>
    <r>
      <rPr>
        <i/>
        <sz val="10"/>
        <rFont val="Arial Narrow"/>
        <family val="2"/>
      </rPr>
      <t>Purchase Order</t>
    </r>
    <r>
      <rPr>
        <sz val="10"/>
        <rFont val="Arial Narrow"/>
        <family val="2"/>
      </rPr>
      <t xml:space="preserve"> (PO) atau Surat Perintah Kerja (SPK) Anda ke fax atau email kami. Atau Anda dapat menandatangani surat penawaran harga ini sebagai dokumen persetujuan dan mengirimkannya kembali kepada kami</t>
    </r>
  </si>
  <si>
    <r>
      <t>Fasilitas Penunjang seperti</t>
    </r>
    <r>
      <rPr>
        <i/>
        <sz val="10"/>
        <rFont val="Arial Narrow"/>
        <family val="2"/>
      </rPr>
      <t xml:space="preserve"> Board Desk</t>
    </r>
    <r>
      <rPr>
        <sz val="10"/>
        <rFont val="Arial Narrow"/>
        <family val="2"/>
      </rPr>
      <t>, Tangga, dan Listrik di lokasi harus disediakan oleh Pelanggan</t>
    </r>
  </si>
  <si>
    <r>
      <t>Hasil akan dikirim 14 hari kerja (</t>
    </r>
    <r>
      <rPr>
        <i/>
        <sz val="10"/>
        <rFont val="Arial Narrow"/>
        <family val="2"/>
      </rPr>
      <t>Normal Service</t>
    </r>
    <r>
      <rPr>
        <sz val="10"/>
        <rFont val="Arial Narrow"/>
        <family val="2"/>
      </rPr>
      <t>) setelah sampel diterima di Laboratorium PT Medialab Indonesia</t>
    </r>
  </si>
  <si>
    <r>
      <t xml:space="preserve">Jangka waktu pembayaran adalah 30 hari setelah </t>
    </r>
    <r>
      <rPr>
        <i/>
        <sz val="10"/>
        <rFont val="Arial Narrow"/>
        <family val="2"/>
      </rPr>
      <t>invoice</t>
    </r>
    <r>
      <rPr>
        <sz val="10"/>
        <rFont val="Arial Narrow"/>
        <family val="2"/>
      </rPr>
      <t xml:space="preserve"> diterima</t>
    </r>
  </si>
  <si>
    <r>
      <t>Disetujui Oleh,</t>
    </r>
    <r>
      <rPr>
        <vertAlign val="superscript"/>
        <sz val="11"/>
        <rFont val="Arial Narrow"/>
        <family val="2"/>
      </rPr>
      <t>3</t>
    </r>
  </si>
  <si>
    <t xml:space="preserve"> Kantor Perwakilan</t>
  </si>
  <si>
    <t>ID Pelanggan</t>
  </si>
  <si>
    <t>Tanggal Rencana Sampling</t>
  </si>
  <si>
    <r>
      <t xml:space="preserve">Permintaan </t>
    </r>
    <r>
      <rPr>
        <i/>
        <sz val="11"/>
        <color theme="1"/>
        <rFont val="Calibri"/>
        <family val="2"/>
        <scheme val="minor"/>
      </rPr>
      <t>TAT</t>
    </r>
  </si>
  <si>
    <t>Alamat Pelanggan</t>
  </si>
  <si>
    <t>Lokasi Perusahaan</t>
  </si>
  <si>
    <t>Kontak Pelanggan</t>
  </si>
  <si>
    <t>No. Telepon</t>
  </si>
  <si>
    <t>No. Lab</t>
  </si>
  <si>
    <t>Parameter Uji</t>
  </si>
  <si>
    <t>Tanggal Login</t>
  </si>
  <si>
    <t>Disiapkan Oleh :</t>
  </si>
  <si>
    <t>Disetujui Oleh :</t>
  </si>
  <si>
    <t>Petugas :</t>
  </si>
  <si>
    <t>Diperiksa Oleh :</t>
  </si>
  <si>
    <t>Diterima Oleh :</t>
  </si>
  <si>
    <t>Persetujuan Pelanggan :</t>
  </si>
  <si>
    <t>Kondisi sample pada saat pengambilan sample &amp; saat diterima oleh Lab :</t>
  </si>
  <si>
    <t>Instruksi Khusus / Permintaan Pelanggan</t>
  </si>
  <si>
    <t>Pengangkutan dan Pengiriman Oleh :</t>
  </si>
  <si>
    <r>
      <rPr>
        <i/>
        <sz val="10"/>
        <color theme="1"/>
        <rFont val="Calibri"/>
        <family val="2"/>
        <scheme val="minor"/>
      </rPr>
      <t xml:space="preserve">(Login) </t>
    </r>
    <r>
      <rPr>
        <sz val="10"/>
        <color theme="1"/>
        <rFont val="Calibri"/>
        <family val="2"/>
        <scheme val="minor"/>
      </rPr>
      <t xml:space="preserve">Kondisi sample pada saat diterima : </t>
    </r>
    <r>
      <rPr>
        <sz val="10"/>
        <color theme="1"/>
        <rFont val="Wingdings"/>
        <charset val="2"/>
      </rPr>
      <t>o</t>
    </r>
    <r>
      <rPr>
        <sz val="10"/>
        <color theme="1"/>
        <rFont val="Calibri"/>
        <family val="2"/>
        <scheme val="minor"/>
      </rPr>
      <t xml:space="preserve">Baik   </t>
    </r>
    <r>
      <rPr>
        <sz val="10"/>
        <color theme="1"/>
        <rFont val="Wingdings"/>
        <charset val="2"/>
      </rPr>
      <t>o</t>
    </r>
    <r>
      <rPr>
        <sz val="10"/>
        <color theme="1"/>
        <rFont val="Calibri"/>
        <family val="2"/>
      </rPr>
      <t>Rusak</t>
    </r>
  </si>
  <si>
    <r>
      <rPr>
        <i/>
        <sz val="10"/>
        <color theme="1"/>
        <rFont val="Calibri"/>
        <family val="2"/>
        <scheme val="minor"/>
      </rPr>
      <t xml:space="preserve">(Login) </t>
    </r>
    <r>
      <rPr>
        <sz val="10"/>
        <color theme="1"/>
        <rFont val="Calibri"/>
        <family val="2"/>
        <scheme val="minor"/>
      </rPr>
      <t>Ketidaknormalan kondisi sample :</t>
    </r>
  </si>
  <si>
    <r>
      <rPr>
        <i/>
        <sz val="10"/>
        <color theme="1"/>
        <rFont val="Calibri"/>
        <family val="2"/>
        <scheme val="minor"/>
      </rPr>
      <t xml:space="preserve">(Sampling) </t>
    </r>
    <r>
      <rPr>
        <sz val="10"/>
        <color theme="1"/>
        <rFont val="Calibri"/>
        <family val="2"/>
        <scheme val="minor"/>
      </rPr>
      <t xml:space="preserve">Kesesuaian dengan metode yang di butuhkan : </t>
    </r>
    <r>
      <rPr>
        <sz val="10"/>
        <color theme="1"/>
        <rFont val="Wingdings"/>
        <charset val="2"/>
      </rPr>
      <t>o</t>
    </r>
    <r>
      <rPr>
        <sz val="10"/>
        <color theme="1"/>
        <rFont val="Calibri"/>
        <family val="2"/>
      </rPr>
      <t xml:space="preserve">Sesuai Kebutuhan   </t>
    </r>
    <r>
      <rPr>
        <sz val="10"/>
        <color theme="1"/>
        <rFont val="Wingdings"/>
        <charset val="2"/>
      </rPr>
      <t>o</t>
    </r>
    <r>
      <rPr>
        <sz val="10"/>
        <color theme="1"/>
        <rFont val="Calibri"/>
        <family val="2"/>
        <scheme val="minor"/>
      </rPr>
      <t>Tidak Sesuai:</t>
    </r>
  </si>
  <si>
    <r>
      <rPr>
        <i/>
        <sz val="10"/>
        <color theme="1"/>
        <rFont val="Calibri"/>
        <family val="2"/>
        <scheme val="minor"/>
      </rPr>
      <t xml:space="preserve">(Sampling) </t>
    </r>
    <r>
      <rPr>
        <sz val="10"/>
        <color theme="1"/>
        <rFont val="Calibri"/>
        <family val="2"/>
        <scheme val="minor"/>
      </rPr>
      <t xml:space="preserve">Kesesuaian dengan informasi yang diberikan : </t>
    </r>
    <r>
      <rPr>
        <sz val="10"/>
        <color theme="1"/>
        <rFont val="Wingdings"/>
        <charset val="2"/>
      </rPr>
      <t>o</t>
    </r>
    <r>
      <rPr>
        <sz val="10"/>
        <color theme="1"/>
        <rFont val="Calibri"/>
        <family val="2"/>
      </rPr>
      <t xml:space="preserve">Sesuai </t>
    </r>
    <r>
      <rPr>
        <sz val="10"/>
        <color theme="1"/>
        <rFont val="Wingdings"/>
        <charset val="2"/>
      </rPr>
      <t>o</t>
    </r>
    <r>
      <rPr>
        <sz val="10"/>
        <color theme="1"/>
        <rFont val="Calibri"/>
        <family val="2"/>
      </rPr>
      <t>Tidak Sesuai</t>
    </r>
  </si>
  <si>
    <r>
      <rPr>
        <sz val="11"/>
        <color theme="1"/>
        <rFont val="Wingdings"/>
        <charset val="2"/>
      </rPr>
      <t>o</t>
    </r>
    <r>
      <rPr>
        <sz val="11"/>
        <color theme="1"/>
        <rFont val="Calibri"/>
        <family val="2"/>
      </rPr>
      <t xml:space="preserve"> Pengambilan </t>
    </r>
    <r>
      <rPr>
        <i/>
        <sz val="11"/>
        <color theme="1"/>
        <rFont val="Calibri"/>
        <family val="2"/>
      </rPr>
      <t>sample</t>
    </r>
    <r>
      <rPr>
        <sz val="11"/>
        <color theme="1"/>
        <rFont val="Calibri"/>
        <family val="2"/>
      </rPr>
      <t xml:space="preserve"> oleh Medialab</t>
    </r>
  </si>
  <si>
    <r>
      <rPr>
        <sz val="11"/>
        <color theme="1"/>
        <rFont val="Wingdings"/>
        <charset val="2"/>
      </rPr>
      <t>o</t>
    </r>
    <r>
      <rPr>
        <sz val="11"/>
        <color theme="1"/>
        <rFont val="Calibri"/>
        <family val="2"/>
      </rPr>
      <t xml:space="preserve"> Pengiriman oleh Kurir / Ekspedisi</t>
    </r>
  </si>
  <si>
    <r>
      <rPr>
        <sz val="11"/>
        <color theme="1"/>
        <rFont val="Wingdings"/>
        <charset val="2"/>
      </rPr>
      <t>o</t>
    </r>
    <r>
      <rPr>
        <sz val="11"/>
        <color theme="1"/>
        <rFont val="Calibri"/>
        <family val="2"/>
      </rPr>
      <t xml:space="preserve"> Lainnya:</t>
    </r>
  </si>
  <si>
    <r>
      <rPr>
        <sz val="11"/>
        <color theme="1"/>
        <rFont val="Wingdings"/>
        <charset val="2"/>
      </rPr>
      <t>o</t>
    </r>
    <r>
      <rPr>
        <sz val="11"/>
        <color theme="1"/>
        <rFont val="Calibri"/>
        <family val="2"/>
      </rPr>
      <t xml:space="preserve"> Diantar oleh Pelanggan</t>
    </r>
  </si>
  <si>
    <t>MI.LTR.001.250110001</t>
  </si>
  <si>
    <t>MI.COC.001.260110001</t>
  </si>
  <si>
    <t>No. LTR</t>
  </si>
  <si>
    <t>No. COC</t>
  </si>
  <si>
    <t>Petugas Sampling</t>
  </si>
  <si>
    <r>
      <rPr>
        <i/>
        <sz val="11"/>
        <color theme="1"/>
        <rFont val="Calibri"/>
        <family val="2"/>
        <scheme val="minor"/>
      </rPr>
      <t xml:space="preserve">Email 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CoA</t>
    </r>
    <r>
      <rPr>
        <sz val="11"/>
        <color theme="1"/>
        <rFont val="Calibri"/>
        <family val="2"/>
        <scheme val="minor"/>
      </rPr>
      <t>)</t>
    </r>
  </si>
  <si>
    <r>
      <t xml:space="preserve">Perkiraan Terbit </t>
    </r>
    <r>
      <rPr>
        <i/>
        <sz val="11"/>
        <color theme="1"/>
        <rFont val="Calibri"/>
        <family val="2"/>
        <scheme val="minor"/>
      </rPr>
      <t>CoA</t>
    </r>
  </si>
  <si>
    <t>-</t>
  </si>
  <si>
    <r>
      <t xml:space="preserve">Area </t>
    </r>
    <r>
      <rPr>
        <b/>
        <i/>
        <sz val="11"/>
        <color theme="1"/>
        <rFont val="Calibri"/>
        <family val="2"/>
        <scheme val="minor"/>
      </rPr>
      <t>Sampling</t>
    </r>
  </si>
  <si>
    <r>
      <t xml:space="preserve">Regulasi
</t>
    </r>
    <r>
      <rPr>
        <b/>
        <i/>
        <sz val="11"/>
        <color theme="1"/>
        <rFont val="Calibri"/>
        <family val="2"/>
        <scheme val="minor"/>
      </rPr>
      <t>(Matrix)</t>
    </r>
  </si>
  <si>
    <r>
      <t xml:space="preserve">Durasi </t>
    </r>
    <r>
      <rPr>
        <b/>
        <i/>
        <sz val="11"/>
        <color theme="1"/>
        <rFont val="Calibri"/>
        <family val="2"/>
        <scheme val="minor"/>
      </rPr>
      <t>Sampling</t>
    </r>
  </si>
  <si>
    <r>
      <t>Tanggal</t>
    </r>
    <r>
      <rPr>
        <b/>
        <i/>
        <sz val="11"/>
        <color theme="1"/>
        <rFont val="Calibri"/>
        <family val="2"/>
        <scheme val="minor"/>
      </rPr>
      <t xml:space="preserve"> Sampling</t>
    </r>
  </si>
  <si>
    <t>Holiday</t>
  </si>
  <si>
    <t>Top Urgent</t>
  </si>
  <si>
    <t>I N V O I C E</t>
  </si>
  <si>
    <t>INVOICE TO</t>
  </si>
  <si>
    <t xml:space="preserve">CP </t>
  </si>
  <si>
    <t xml:space="preserve">Email </t>
  </si>
  <si>
    <t>Fitria Ramadhani</t>
  </si>
  <si>
    <t>Marketing &amp; Sales manager</t>
  </si>
  <si>
    <t>Lia Anjarwati</t>
  </si>
  <si>
    <t>Sales Officer</t>
  </si>
  <si>
    <t>DC.001.2401085</t>
  </si>
  <si>
    <t>Udara Ambien</t>
  </si>
  <si>
    <t>Upwind</t>
  </si>
  <si>
    <t>PP No.22/2021 Lamp.VII (UA)</t>
  </si>
  <si>
    <t>Sulfur Dioxide (SO2)</t>
  </si>
  <si>
    <t>MASA 704B Ed 3-1989</t>
  </si>
  <si>
    <t>Downwind</t>
  </si>
  <si>
    <t>Carbon Monoxide (CO)</t>
  </si>
  <si>
    <t>IKM-UA-7.2.5-MI</t>
  </si>
  <si>
    <t>Nitrogen Dioxide (NO2)</t>
  </si>
  <si>
    <t>SNI 19-7119.2-2005</t>
  </si>
  <si>
    <t>Oxidant (O3)</t>
  </si>
  <si>
    <t>SNI 19-7119.8-2005</t>
  </si>
  <si>
    <t>Hydrocarbon Non Metana (NMHC)</t>
  </si>
  <si>
    <t>IKM-UA-7.2.34-MI Gas Analyzer</t>
  </si>
  <si>
    <t xml:space="preserve">Total Suspended Particulate (TSP) </t>
  </si>
  <si>
    <t>SNI 7119.3:2017</t>
  </si>
  <si>
    <t>Particle &lt;10 um (PM10)</t>
  </si>
  <si>
    <t>SNI 7119-15-2016</t>
  </si>
  <si>
    <t>Particle &lt;2.5 um (PM2.5)</t>
  </si>
  <si>
    <t>SNI 7119-14-2016</t>
  </si>
  <si>
    <t>Lead (Pb)</t>
  </si>
  <si>
    <t>USEPA Mehod Compendium IO-3.4</t>
  </si>
  <si>
    <t>KepMen 50 Tahun 1996 (UAF)</t>
  </si>
  <si>
    <t>Ammonia (NH3)</t>
  </si>
  <si>
    <t>SNI 19-7119.1-2005</t>
  </si>
  <si>
    <t>Hydrogen Sulfide (H2S)</t>
  </si>
  <si>
    <t>IKM-UA-7.2.33-MI</t>
  </si>
  <si>
    <t>Gangguan Ambien - Kebisingan</t>
  </si>
  <si>
    <t>KepMen 48 Tahun 1996 (UAF)</t>
  </si>
  <si>
    <t xml:space="preserve">Noise </t>
  </si>
  <si>
    <t>SNI 8427-2017</t>
  </si>
  <si>
    <t xml:space="preserve">Faktor Kimia Lingkungan Kerja
</t>
  </si>
  <si>
    <t>Permenaker No. 5 Tahun 2018 (ULK)</t>
  </si>
  <si>
    <t>IKM-UA-7.2.6-MI</t>
  </si>
  <si>
    <t>NIOSH 66604</t>
  </si>
  <si>
    <t>IKM-UA-7.2.27-MI</t>
  </si>
  <si>
    <t>Total Dust</t>
  </si>
  <si>
    <t>SNI 16-7058-2004</t>
  </si>
  <si>
    <t>IKM-UA-7.2.23-MI</t>
  </si>
  <si>
    <t>IKM-UA-7.2.38-MI</t>
  </si>
  <si>
    <t>Faktor Fisika Lingkungan Kerja</t>
  </si>
  <si>
    <t>Permenaker No. 5 Tahun 2018 (FK)</t>
  </si>
  <si>
    <t>SNI 7231.2009</t>
  </si>
  <si>
    <t>Air Limbah Industri</t>
  </si>
  <si>
    <t>Regulasi Kawasan Industri MM2100 Kategori A dan B (LC)</t>
  </si>
  <si>
    <t>Temperature</t>
  </si>
  <si>
    <t>SNI-06-6898.23 - 2005</t>
  </si>
  <si>
    <t>Total Suspended Solids (TSS)</t>
  </si>
  <si>
    <t>SNI 6989.3:2019</t>
  </si>
  <si>
    <t>Total Dissolved Solids (TDS)</t>
  </si>
  <si>
    <t>SNI 6989.27:2019</t>
  </si>
  <si>
    <t>pH</t>
  </si>
  <si>
    <t>SNI 6989.11:2019</t>
  </si>
  <si>
    <t>Biological Oxygen Demand (BOD)</t>
  </si>
  <si>
    <t>SNI 6989.72.2009</t>
  </si>
  <si>
    <t>Chemical Oxygen Demand (COD)</t>
  </si>
  <si>
    <t>SNI 6989.2-2019</t>
  </si>
  <si>
    <t>Total Ammonia (NH3-N)</t>
  </si>
  <si>
    <t>SNI 06-6989.30-2005</t>
  </si>
  <si>
    <t>Detergent (MBAS)</t>
  </si>
  <si>
    <t>SNI 06-6989.51 - 2005</t>
  </si>
  <si>
    <t>Phenol*</t>
  </si>
  <si>
    <t>SNI 06-6989.21-2004</t>
  </si>
  <si>
    <t>Oil &amp; Grease</t>
  </si>
  <si>
    <t>IKM-AA-7.2.62-MI Spektro Fluorometri</t>
  </si>
  <si>
    <t>Nitrate (NO3-N)</t>
  </si>
  <si>
    <t>SM APHA 23rd Ed., 4110B, 2017</t>
  </si>
  <si>
    <t>Nitrite (NO2-N)</t>
  </si>
  <si>
    <t>Total Nitrogen (N)*</t>
  </si>
  <si>
    <t>Spectrophotometry</t>
  </si>
  <si>
    <t>Sulphide (H2S)*</t>
  </si>
  <si>
    <t>Arsenic (As)</t>
  </si>
  <si>
    <t>IKM-AA-7.2.7-MI (AFS)</t>
  </si>
  <si>
    <t xml:space="preserve">Barium (Ba) </t>
  </si>
  <si>
    <t>SM Sec. 3120B 23rd, 2017</t>
  </si>
  <si>
    <t>Cadmium (Cd)</t>
  </si>
  <si>
    <t>Chromium (Cr)</t>
  </si>
  <si>
    <t>Chromium Hexavalent (Cr6+)</t>
  </si>
  <si>
    <t>SNI 6989.71-2009</t>
  </si>
  <si>
    <t>Cyanide (CN)*</t>
  </si>
  <si>
    <t>SNI 6989.77 - 2011</t>
  </si>
  <si>
    <t>Cobalt (Co)</t>
  </si>
  <si>
    <t>Copper (Cu)</t>
  </si>
  <si>
    <t>Fluoride (F)</t>
  </si>
  <si>
    <t>Free Chlorine (Cl2)</t>
  </si>
  <si>
    <t>IKM-AA-7.2.57-MI (Spektrofotometri)</t>
  </si>
  <si>
    <t>Dissolved Iron (Fe)</t>
  </si>
  <si>
    <t>Nickel (Ni)</t>
  </si>
  <si>
    <t>Dissolved Manganese (Mn)</t>
  </si>
  <si>
    <t>Mercury (Hg)</t>
  </si>
  <si>
    <t>Selenium (Se)</t>
  </si>
  <si>
    <t>Stanum (Sn)</t>
  </si>
  <si>
    <t>Zinc (Zn)</t>
  </si>
  <si>
    <t>Total Coliform</t>
  </si>
  <si>
    <t>SM Sec. 9221B 23rd, 2017</t>
  </si>
  <si>
    <t xml:space="preserve">1 Jam </t>
  </si>
  <si>
    <t xml:space="preserve">3 Jam </t>
  </si>
  <si>
    <t xml:space="preserve">24 Jam </t>
  </si>
  <si>
    <t>Sesaat</t>
  </si>
  <si>
    <t>Biaya Teknisi (hari) 24 Jam</t>
  </si>
  <si>
    <t>Biaya Sewa Alat (hari)</t>
  </si>
  <si>
    <t>C. Dokumen</t>
  </si>
  <si>
    <t>A. Pengujian Laboratorium 1 Tahun 2026</t>
  </si>
  <si>
    <t>MI.QT.001.26030811.REV1</t>
  </si>
  <si>
    <t>Penyusunan, penggandaan, pendistribusian dokumen implementasi UKL-UPL Semester 1&amp;2 Tahun 2026</t>
  </si>
  <si>
    <t>PT CONTOH</t>
  </si>
  <si>
    <t>Ibu Lia</t>
  </si>
  <si>
    <t>lia@medialab.co.id</t>
  </si>
  <si>
    <t>Jl. Jatiwangi No 44 kamurang</t>
  </si>
  <si>
    <t>Kec. Cikarang Barat, Kab. Bekasi</t>
  </si>
  <si>
    <t>082310833657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</si>
</sst>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_);_(* \(#,##0\);_(* &quot;-&quot;_);_(@_)"/>
    <numFmt numFmtId="165" formatCode="[$-F800]dddd\,\ mmmm\ dd\,\ yyyy"/>
    <numFmt numFmtId="166" formatCode="[$-409]mmmm\ d\,\ yyyy;@"/>
    <numFmt numFmtId="167" formatCode="0\ \T\i\t\i\k"/>
    <numFmt numFmtId="168" formatCode="&quot;Rp&quot;#,##0.00"/>
    <numFmt numFmtId="169" formatCode="[$-409]dd\-mmm\-yy;@"/>
  </numFmts>
  <fonts count="90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charset val="1"/>
      <scheme val="minor"/>
    </font>
    <font>
      <b/>
      <sz val="10"/>
      <color theme="1"/>
      <name val="Calibri"/>
      <family val="2"/>
      <scheme val="minor"/>
    </font>
    <font>
      <sz val="10"/>
      <color theme="1"/>
      <name val="Wingdings"/>
      <charset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Wingdings"/>
      <charset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sz val="11"/>
      <color theme="1"/>
      <name val="Calibri Light"/>
      <family val="2"/>
    </font>
    <font>
      <b/>
      <sz val="11"/>
      <color theme="1"/>
      <name val="Calibri Light"/>
      <family val="2"/>
    </font>
    <font>
      <b/>
      <sz val="28"/>
      <color theme="1"/>
      <name val="Calibri Light"/>
      <family val="2"/>
    </font>
    <font>
      <i/>
      <sz val="11"/>
      <color theme="1"/>
      <name val="Calibri Light"/>
      <family val="2"/>
    </font>
    <font>
      <b/>
      <u/>
      <sz val="11"/>
      <color theme="1"/>
      <name val="Calibri Light"/>
      <family val="2"/>
    </font>
    <font>
      <sz val="26"/>
      <name val="Calibri Light"/>
      <family val="2"/>
    </font>
    <font>
      <vertAlign val="superscript"/>
      <sz val="11"/>
      <color theme="1"/>
      <name val="Calibri Light"/>
      <family val="2"/>
    </font>
    <font>
      <b/>
      <sz val="10"/>
      <color theme="1"/>
      <name val="Calibri Light"/>
      <family val="2"/>
    </font>
    <font>
      <sz val="10"/>
      <color theme="1"/>
      <name val="Calibri Light"/>
      <family val="2"/>
    </font>
    <font>
      <b/>
      <u/>
      <sz val="10"/>
      <name val="Calibri Light"/>
      <family val="2"/>
    </font>
    <font>
      <sz val="11"/>
      <name val="Calibri Light"/>
      <family val="2"/>
    </font>
    <font>
      <vertAlign val="superscript"/>
      <sz val="11"/>
      <name val="Calibri Light"/>
      <family val="2"/>
    </font>
    <font>
      <sz val="10"/>
      <name val="Calibri Light"/>
      <family val="2"/>
    </font>
    <font>
      <sz val="11"/>
      <color theme="0"/>
      <name val="Calibri Light"/>
      <family val="2"/>
    </font>
    <font>
      <b/>
      <sz val="11"/>
      <color theme="0"/>
      <name val="Calibri Light"/>
      <family val="2"/>
    </font>
    <font>
      <sz val="11"/>
      <color rgb="FF244061"/>
      <name val="Calibri Light"/>
      <family val="2"/>
    </font>
    <font>
      <b/>
      <u/>
      <sz val="11"/>
      <name val="Calibri Light"/>
      <family val="2"/>
    </font>
    <font>
      <i/>
      <sz val="10"/>
      <name val="Calibri Light"/>
      <family val="2"/>
    </font>
    <font>
      <sz val="9"/>
      <color theme="1"/>
      <name val="Calibri Light"/>
      <family val="2"/>
    </font>
    <font>
      <b/>
      <sz val="18"/>
      <color theme="1"/>
      <name val="Lucida Sans"/>
      <family val="2"/>
    </font>
    <font>
      <b/>
      <sz val="14"/>
      <color theme="1"/>
      <name val="Calibri"/>
      <family val="2"/>
      <charset val="1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rgb="FFABD037"/>
      <name val="Arial"/>
      <family val="2"/>
    </font>
    <font>
      <sz val="8"/>
      <color rgb="FF6D6E71"/>
      <name val="Arial"/>
      <family val="2"/>
    </font>
    <font>
      <sz val="8"/>
      <color theme="1"/>
      <name val="Times New Roman"/>
      <family val="1"/>
    </font>
    <font>
      <sz val="11"/>
      <color rgb="FF0070C0"/>
      <name val="Calibri"/>
      <family val="2"/>
      <charset val="1"/>
      <scheme val="minor"/>
    </font>
    <font>
      <sz val="11"/>
      <color rgb="FF0070C0"/>
      <name val="Calibri Light"/>
      <family val="2"/>
    </font>
    <font>
      <b/>
      <sz val="11"/>
      <color theme="1"/>
      <name val="Arial Narrow"/>
      <family val="2"/>
    </font>
    <font>
      <b/>
      <i/>
      <sz val="11"/>
      <color theme="1"/>
      <name val="Arial Narrow"/>
      <family val="2"/>
    </font>
    <font>
      <vertAlign val="superscript"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u/>
      <sz val="10"/>
      <name val="Arial Narrow"/>
      <family val="2"/>
    </font>
    <font>
      <sz val="11"/>
      <name val="Arial Narrow"/>
      <family val="2"/>
    </font>
    <font>
      <vertAlign val="superscript"/>
      <sz val="11"/>
      <name val="Arial Narrow"/>
      <family val="2"/>
    </font>
    <font>
      <sz val="10"/>
      <name val="Arial Narrow"/>
      <family val="2"/>
    </font>
    <font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i/>
      <sz val="10"/>
      <color theme="1"/>
      <name val="Arial Narrow"/>
      <family val="2"/>
    </font>
    <font>
      <b/>
      <sz val="28"/>
      <color theme="1"/>
      <name val="Arial Narrow"/>
      <family val="2"/>
    </font>
    <font>
      <b/>
      <sz val="18"/>
      <color theme="1"/>
      <name val="Arial Narrow"/>
      <family val="2"/>
    </font>
    <font>
      <i/>
      <sz val="11"/>
      <color theme="1"/>
      <name val="Arial Narrow"/>
      <family val="2"/>
    </font>
    <font>
      <b/>
      <u/>
      <sz val="11"/>
      <color theme="1"/>
      <name val="Arial Narrow"/>
      <family val="2"/>
    </font>
    <font>
      <sz val="26"/>
      <name val="Arial Narrow"/>
      <family val="2"/>
    </font>
    <font>
      <sz val="11"/>
      <color rgb="FF244061"/>
      <name val="Arial Narrow"/>
      <family val="2"/>
    </font>
    <font>
      <b/>
      <u/>
      <sz val="11"/>
      <name val="Arial Narrow"/>
      <family val="2"/>
    </font>
    <font>
      <sz val="9"/>
      <color theme="1"/>
      <name val="Arial Narrow"/>
      <family val="2"/>
    </font>
    <font>
      <i/>
      <sz val="10"/>
      <name val="Arial Narrow"/>
      <family val="2"/>
    </font>
    <font>
      <b/>
      <sz val="12"/>
      <color theme="3"/>
      <name val="Arial Narrow"/>
      <family val="2"/>
    </font>
    <font>
      <sz val="11"/>
      <color theme="3"/>
      <name val="Arial Narrow"/>
      <family val="2"/>
    </font>
    <font>
      <b/>
      <sz val="11"/>
      <color theme="3"/>
      <name val="Arial Narrow"/>
      <family val="2"/>
    </font>
    <font>
      <b/>
      <sz val="10"/>
      <color theme="3"/>
      <name val="Arial Narrow"/>
      <family val="2"/>
    </font>
    <font>
      <sz val="9"/>
      <color theme="3"/>
      <name val="Arial Narrow"/>
      <family val="2"/>
    </font>
    <font>
      <sz val="11"/>
      <color rgb="FF0070C0"/>
      <name val="Arial Narrow"/>
      <family val="2"/>
    </font>
    <font>
      <i/>
      <sz val="12"/>
      <color theme="1"/>
      <name val="Arial Narrow"/>
      <family val="2"/>
    </font>
    <font>
      <b/>
      <sz val="8"/>
      <color theme="3"/>
      <name val="Arial Narrow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sz val="11"/>
      <color theme="1"/>
      <name val="Calibri"/>
      <family val="2"/>
      <charset val="2"/>
    </font>
    <font>
      <sz val="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EEECE1"/>
        <bgColor indexed="64"/>
      </patternFill>
    </fill>
  </fills>
  <borders count="53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14">
    <xf numFmtId="0" fontId="0" fillId="0" borderId="0"/>
    <xf numFmtId="0" fontId="15" fillId="0" borderId="0"/>
    <xf numFmtId="164" fontId="16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23" fillId="0" borderId="0" applyNumberForma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16" fillId="0" borderId="0"/>
  </cellStyleXfs>
  <cellXfs count="538">
    <xf numFmtId="0" fontId="0" fillId="0" borderId="0" xfId="0"/>
    <xf numFmtId="0" fontId="0" fillId="0" borderId="0" xfId="0" applyAlignment="1">
      <alignment horizontal="center"/>
    </xf>
    <xf numFmtId="0" fontId="8" fillId="2" borderId="0" xfId="8" applyFill="1"/>
    <xf numFmtId="0" fontId="12" fillId="2" borderId="0" xfId="8" applyFont="1" applyFill="1"/>
    <xf numFmtId="0" fontId="8" fillId="0" borderId="0" xfId="8"/>
    <xf numFmtId="0" fontId="10" fillId="2" borderId="0" xfId="8" applyFont="1" applyFill="1"/>
    <xf numFmtId="0" fontId="11" fillId="2" borderId="0" xfId="8" applyFont="1" applyFill="1" applyAlignment="1">
      <alignment horizontal="center" vertical="center"/>
    </xf>
    <xf numFmtId="0" fontId="8" fillId="0" borderId="23" xfId="8" applyBorder="1"/>
    <xf numFmtId="0" fontId="10" fillId="0" borderId="24" xfId="8" applyFont="1" applyBorder="1"/>
    <xf numFmtId="0" fontId="8" fillId="0" borderId="24" xfId="8" applyBorder="1"/>
    <xf numFmtId="0" fontId="8" fillId="0" borderId="25" xfId="8" applyBorder="1"/>
    <xf numFmtId="0" fontId="8" fillId="0" borderId="26" xfId="8" applyBorder="1"/>
    <xf numFmtId="0" fontId="10" fillId="0" borderId="14" xfId="8" applyFont="1" applyBorder="1"/>
    <xf numFmtId="0" fontId="8" fillId="0" borderId="14" xfId="8" applyBorder="1"/>
    <xf numFmtId="0" fontId="8" fillId="0" borderId="14" xfId="8" applyBorder="1" applyAlignment="1">
      <alignment horizontal="center"/>
    </xf>
    <xf numFmtId="0" fontId="8" fillId="0" borderId="28" xfId="8" applyBorder="1" applyAlignment="1">
      <alignment vertical="top"/>
    </xf>
    <xf numFmtId="0" fontId="10" fillId="0" borderId="29" xfId="8" applyFont="1" applyBorder="1" applyAlignment="1">
      <alignment vertical="top"/>
    </xf>
    <xf numFmtId="0" fontId="8" fillId="0" borderId="29" xfId="8" applyBorder="1"/>
    <xf numFmtId="0" fontId="8" fillId="0" borderId="29" xfId="8" applyBorder="1" applyAlignment="1">
      <alignment horizontal="center"/>
    </xf>
    <xf numFmtId="0" fontId="20" fillId="0" borderId="7" xfId="8" applyFont="1" applyBorder="1"/>
    <xf numFmtId="0" fontId="20" fillId="0" borderId="0" xfId="8" applyFont="1"/>
    <xf numFmtId="0" fontId="8" fillId="0" borderId="10" xfId="8" applyBorder="1" applyAlignment="1">
      <alignment vertical="center"/>
    </xf>
    <xf numFmtId="0" fontId="8" fillId="0" borderId="12" xfId="8" applyBorder="1" applyAlignment="1">
      <alignment vertical="center"/>
    </xf>
    <xf numFmtId="0" fontId="11" fillId="2" borderId="11" xfId="8" applyFont="1" applyFill="1" applyBorder="1" applyAlignment="1">
      <alignment horizontal="center" vertical="center"/>
    </xf>
    <xf numFmtId="0" fontId="8" fillId="0" borderId="3" xfId="8" applyBorder="1"/>
    <xf numFmtId="0" fontId="8" fillId="0" borderId="7" xfId="8" applyBorder="1"/>
    <xf numFmtId="0" fontId="14" fillId="0" borderId="0" xfId="0" applyFont="1"/>
    <xf numFmtId="0" fontId="22" fillId="2" borderId="0" xfId="8" applyFont="1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5" fillId="0" borderId="0" xfId="0" applyFont="1"/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9" fillId="0" borderId="0" xfId="0" applyFont="1" applyAlignment="1">
      <alignment vertical="center"/>
    </xf>
    <xf numFmtId="0" fontId="2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32" xfId="0" applyFont="1" applyBorder="1" applyAlignment="1">
      <alignment horizontal="left"/>
    </xf>
    <xf numFmtId="0" fontId="24" fillId="0" borderId="31" xfId="0" applyFont="1" applyBorder="1"/>
    <xf numFmtId="0" fontId="24" fillId="0" borderId="31" xfId="0" quotePrefix="1" applyFont="1" applyBorder="1" applyAlignment="1">
      <alignment horizontal="left"/>
    </xf>
    <xf numFmtId="0" fontId="24" fillId="0" borderId="3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 vertical="top"/>
    </xf>
    <xf numFmtId="0" fontId="24" fillId="0" borderId="0" xfId="0" applyFont="1" applyAlignment="1">
      <alignment horizontal="left" vertical="top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horizontal="left" vertical="center" wrapText="1"/>
    </xf>
    <xf numFmtId="0" fontId="25" fillId="2" borderId="2" xfId="0" applyFont="1" applyFill="1" applyBorder="1" applyAlignment="1">
      <alignment vertical="center"/>
    </xf>
    <xf numFmtId="0" fontId="25" fillId="2" borderId="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 wrapText="1"/>
    </xf>
    <xf numFmtId="0" fontId="32" fillId="0" borderId="0" xfId="0" applyFont="1"/>
    <xf numFmtId="0" fontId="32" fillId="0" borderId="0" xfId="0" applyFont="1" applyAlignment="1">
      <alignment horizontal="center"/>
    </xf>
    <xf numFmtId="164" fontId="32" fillId="0" borderId="0" xfId="0" applyNumberFormat="1" applyFont="1"/>
    <xf numFmtId="0" fontId="24" fillId="0" borderId="13" xfId="0" applyFont="1" applyBorder="1"/>
    <xf numFmtId="0" fontId="24" fillId="2" borderId="9" xfId="0" applyFont="1" applyFill="1" applyBorder="1"/>
    <xf numFmtId="0" fontId="24" fillId="2" borderId="9" xfId="0" applyFont="1" applyFill="1" applyBorder="1" applyAlignment="1">
      <alignment horizontal="left"/>
    </xf>
    <xf numFmtId="0" fontId="24" fillId="2" borderId="9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right"/>
    </xf>
    <xf numFmtId="0" fontId="25" fillId="2" borderId="9" xfId="0" applyFont="1" applyFill="1" applyBorder="1" applyAlignment="1">
      <alignment horizontal="center"/>
    </xf>
    <xf numFmtId="0" fontId="25" fillId="2" borderId="0" xfId="0" applyFont="1" applyFill="1"/>
    <xf numFmtId="168" fontId="24" fillId="2" borderId="0" xfId="0" applyNumberFormat="1" applyFont="1" applyFill="1" applyAlignment="1">
      <alignment horizontal="center"/>
    </xf>
    <xf numFmtId="0" fontId="33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0" fontId="34" fillId="0" borderId="20" xfId="0" applyFont="1" applyBorder="1" applyAlignment="1">
      <alignment horizontal="right"/>
    </xf>
    <xf numFmtId="164" fontId="34" fillId="0" borderId="20" xfId="0" applyNumberFormat="1" applyFont="1" applyBorder="1"/>
    <xf numFmtId="0" fontId="36" fillId="0" borderId="0" xfId="0" applyFont="1" applyAlignment="1">
      <alignment horizontal="left"/>
    </xf>
    <xf numFmtId="0" fontId="34" fillId="0" borderId="0" xfId="0" applyFont="1" applyAlignment="1">
      <alignment horizontal="center" vertical="center" wrapText="1"/>
    </xf>
    <xf numFmtId="0" fontId="24" fillId="0" borderId="13" xfId="0" applyFont="1" applyBorder="1" applyAlignment="1">
      <alignment horizontal="right"/>
    </xf>
    <xf numFmtId="164" fontId="24" fillId="0" borderId="13" xfId="0" applyNumberFormat="1" applyFont="1" applyBorder="1"/>
    <xf numFmtId="0" fontId="36" fillId="0" borderId="0" xfId="0" applyFont="1" applyAlignment="1">
      <alignment horizontal="left" vertical="center"/>
    </xf>
    <xf numFmtId="0" fontId="24" fillId="0" borderId="0" xfId="0" applyFont="1" applyAlignment="1">
      <alignment horizontal="right"/>
    </xf>
    <xf numFmtId="164" fontId="24" fillId="0" borderId="0" xfId="0" applyNumberFormat="1" applyFont="1"/>
    <xf numFmtId="0" fontId="37" fillId="0" borderId="0" xfId="0" applyFont="1"/>
    <xf numFmtId="0" fontId="36" fillId="0" borderId="0" xfId="0" applyFont="1" applyAlignment="1">
      <alignment horizontal="left" vertical="top"/>
    </xf>
    <xf numFmtId="0" fontId="38" fillId="0" borderId="0" xfId="0" applyFont="1" applyAlignment="1">
      <alignment horizontal="center" vertical="center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8" fillId="15" borderId="0" xfId="0" applyFont="1" applyFill="1" applyAlignment="1">
      <alignment horizontal="right" vertical="center"/>
    </xf>
    <xf numFmtId="164" fontId="38" fillId="15" borderId="0" xfId="2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vertical="top"/>
    </xf>
    <xf numFmtId="0" fontId="28" fillId="0" borderId="0" xfId="0" applyFont="1" applyAlignment="1">
      <alignment horizontal="left" vertical="top"/>
    </xf>
    <xf numFmtId="0" fontId="32" fillId="0" borderId="31" xfId="0" applyFont="1" applyBorder="1" applyAlignment="1">
      <alignment horizontal="left"/>
    </xf>
    <xf numFmtId="0" fontId="32" fillId="0" borderId="31" xfId="0" applyFont="1" applyBorder="1"/>
    <xf numFmtId="0" fontId="32" fillId="0" borderId="31" xfId="0" quotePrefix="1" applyFont="1" applyBorder="1" applyAlignment="1">
      <alignment horizontal="left"/>
    </xf>
    <xf numFmtId="0" fontId="39" fillId="0" borderId="0" xfId="0" applyFont="1"/>
    <xf numFmtId="0" fontId="39" fillId="0" borderId="19" xfId="0" applyFont="1" applyBorder="1"/>
    <xf numFmtId="0" fontId="40" fillId="0" borderId="0" xfId="0" applyFont="1"/>
    <xf numFmtId="0" fontId="42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4" fontId="24" fillId="0" borderId="0" xfId="2" applyFont="1"/>
    <xf numFmtId="0" fontId="24" fillId="0" borderId="7" xfId="0" applyFont="1" applyBorder="1" applyAlignment="1">
      <alignment horizontal="center"/>
    </xf>
    <xf numFmtId="0" fontId="42" fillId="0" borderId="7" xfId="0" applyFont="1" applyBorder="1"/>
    <xf numFmtId="0" fontId="24" fillId="0" borderId="34" xfId="0" applyFont="1" applyBorder="1"/>
    <xf numFmtId="0" fontId="24" fillId="0" borderId="34" xfId="0" applyFont="1" applyBorder="1" applyAlignment="1">
      <alignment horizontal="center"/>
    </xf>
    <xf numFmtId="0" fontId="24" fillId="5" borderId="0" xfId="0" applyFont="1" applyFill="1"/>
    <xf numFmtId="0" fontId="24" fillId="11" borderId="0" xfId="0" applyFont="1" applyFill="1"/>
    <xf numFmtId="0" fontId="25" fillId="12" borderId="0" xfId="0" applyFont="1" applyFill="1"/>
    <xf numFmtId="0" fontId="24" fillId="12" borderId="0" xfId="0" applyFont="1" applyFill="1"/>
    <xf numFmtId="0" fontId="24" fillId="7" borderId="0" xfId="0" applyFont="1" applyFill="1"/>
    <xf numFmtId="0" fontId="25" fillId="8" borderId="0" xfId="0" applyFont="1" applyFill="1"/>
    <xf numFmtId="0" fontId="24" fillId="8" borderId="0" xfId="0" applyFont="1" applyFill="1" applyAlignment="1">
      <alignment vertical="top" wrapText="1"/>
    </xf>
    <xf numFmtId="0" fontId="24" fillId="0" borderId="0" xfId="0" applyFont="1" applyAlignment="1">
      <alignment vertical="top" wrapText="1"/>
    </xf>
    <xf numFmtId="0" fontId="24" fillId="8" borderId="0" xfId="0" applyFont="1" applyFill="1"/>
    <xf numFmtId="0" fontId="24" fillId="8" borderId="0" xfId="0" quotePrefix="1" applyFont="1" applyFill="1"/>
    <xf numFmtId="0" fontId="24" fillId="10" borderId="0" xfId="0" applyFont="1" applyFill="1"/>
    <xf numFmtId="0" fontId="25" fillId="13" borderId="0" xfId="0" applyFont="1" applyFill="1"/>
    <xf numFmtId="0" fontId="24" fillId="13" borderId="0" xfId="0" applyFont="1" applyFill="1" applyAlignment="1">
      <alignment vertical="top" wrapText="1"/>
    </xf>
    <xf numFmtId="0" fontId="24" fillId="13" borderId="0" xfId="0" applyFont="1" applyFill="1"/>
    <xf numFmtId="0" fontId="28" fillId="0" borderId="0" xfId="0" applyFont="1" applyAlignment="1">
      <alignment vertical="top"/>
    </xf>
    <xf numFmtId="0" fontId="24" fillId="14" borderId="0" xfId="0" applyFont="1" applyFill="1"/>
    <xf numFmtId="0" fontId="24" fillId="3" borderId="0" xfId="0" applyFont="1" applyFill="1"/>
    <xf numFmtId="0" fontId="10" fillId="0" borderId="0" xfId="10" applyFont="1" applyAlignment="1">
      <alignment wrapText="1"/>
    </xf>
    <xf numFmtId="0" fontId="10" fillId="2" borderId="0" xfId="10" applyFont="1" applyFill="1"/>
    <xf numFmtId="0" fontId="11" fillId="2" borderId="0" xfId="10" applyFont="1" applyFill="1" applyAlignment="1">
      <alignment horizontal="center" vertical="center"/>
    </xf>
    <xf numFmtId="0" fontId="0" fillId="0" borderId="9" xfId="0" applyBorder="1"/>
    <xf numFmtId="0" fontId="10" fillId="2" borderId="9" xfId="10" applyFont="1" applyFill="1" applyBorder="1"/>
    <xf numFmtId="0" fontId="11" fillId="2" borderId="9" xfId="1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8" xfId="0" applyBorder="1" applyAlignment="1">
      <alignment horizontal="center"/>
    </xf>
    <xf numFmtId="0" fontId="11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45" fillId="0" borderId="0" xfId="0" applyFont="1" applyAlignment="1">
      <alignment vertical="top"/>
    </xf>
    <xf numFmtId="165" fontId="0" fillId="0" borderId="0" xfId="0" applyNumberFormat="1" applyAlignment="1">
      <alignment horizontal="left"/>
    </xf>
    <xf numFmtId="15" fontId="32" fillId="0" borderId="0" xfId="0" applyNumberFormat="1" applyFont="1" applyAlignment="1">
      <alignment horizontal="center"/>
    </xf>
    <xf numFmtId="0" fontId="36" fillId="0" borderId="0" xfId="0" quotePrefix="1" applyFont="1" applyAlignment="1">
      <alignment horizontal="right" vertical="top"/>
    </xf>
    <xf numFmtId="0" fontId="47" fillId="0" borderId="0" xfId="0" applyFont="1" applyAlignment="1">
      <alignment vertical="center"/>
    </xf>
    <xf numFmtId="0" fontId="50" fillId="0" borderId="0" xfId="9" applyFont="1" applyAlignment="1">
      <alignment vertical="top"/>
    </xf>
    <xf numFmtId="0" fontId="51" fillId="0" borderId="0" xfId="0" applyFont="1" applyAlignment="1">
      <alignment vertical="top"/>
    </xf>
    <xf numFmtId="0" fontId="0" fillId="0" borderId="18" xfId="0" applyBorder="1" applyAlignment="1">
      <alignment horizontal="left"/>
    </xf>
    <xf numFmtId="0" fontId="0" fillId="0" borderId="7" xfId="0" applyBorder="1" applyAlignment="1">
      <alignment horizontal="left"/>
    </xf>
    <xf numFmtId="0" fontId="24" fillId="0" borderId="0" xfId="13" applyFont="1"/>
    <xf numFmtId="0" fontId="11" fillId="6" borderId="0" xfId="0" applyFont="1" applyFill="1"/>
    <xf numFmtId="0" fontId="0" fillId="6" borderId="0" xfId="0" applyFill="1"/>
    <xf numFmtId="0" fontId="23" fillId="6" borderId="0" xfId="9" applyFill="1"/>
    <xf numFmtId="0" fontId="0" fillId="6" borderId="0" xfId="0" quotePrefix="1" applyFill="1"/>
    <xf numFmtId="0" fontId="32" fillId="0" borderId="0" xfId="0" applyFont="1" applyAlignment="1">
      <alignment vertical="center"/>
    </xf>
    <xf numFmtId="0" fontId="32" fillId="0" borderId="0" xfId="0" applyFont="1" applyAlignment="1">
      <alignment horizontal="left"/>
    </xf>
    <xf numFmtId="0" fontId="17" fillId="2" borderId="0" xfId="8" applyFont="1" applyFill="1" applyAlignment="1">
      <alignment horizontal="center" vertical="center"/>
    </xf>
    <xf numFmtId="0" fontId="10" fillId="0" borderId="0" xfId="8" applyFont="1"/>
    <xf numFmtId="0" fontId="10" fillId="0" borderId="29" xfId="8" applyFont="1" applyBorder="1"/>
    <xf numFmtId="0" fontId="10" fillId="0" borderId="10" xfId="8" applyFont="1" applyBorder="1" applyAlignment="1">
      <alignment horizontal="center" vertical="center"/>
    </xf>
    <xf numFmtId="0" fontId="10" fillId="0" borderId="6" xfId="8" applyFont="1" applyBorder="1" applyAlignment="1">
      <alignment horizontal="center" vertical="center"/>
    </xf>
    <xf numFmtId="0" fontId="19" fillId="0" borderId="0" xfId="8" applyFont="1"/>
    <xf numFmtId="0" fontId="25" fillId="0" borderId="20" xfId="0" applyFont="1" applyBorder="1" applyAlignment="1">
      <alignment horizontal="left" vertical="center"/>
    </xf>
    <xf numFmtId="0" fontId="25" fillId="0" borderId="20" xfId="0" applyFont="1" applyBorder="1" applyAlignment="1">
      <alignment horizontal="left"/>
    </xf>
    <xf numFmtId="0" fontId="25" fillId="0" borderId="20" xfId="0" applyFont="1" applyBorder="1" applyAlignment="1">
      <alignment horizontal="center"/>
    </xf>
    <xf numFmtId="167" fontId="24" fillId="0" borderId="20" xfId="0" applyNumberFormat="1" applyFont="1" applyBorder="1" applyAlignment="1">
      <alignment horizontal="center"/>
    </xf>
    <xf numFmtId="164" fontId="24" fillId="0" borderId="20" xfId="0" applyNumberFormat="1" applyFont="1" applyBorder="1"/>
    <xf numFmtId="0" fontId="32" fillId="0" borderId="13" xfId="0" applyFont="1" applyBorder="1"/>
    <xf numFmtId="0" fontId="32" fillId="0" borderId="13" xfId="0" applyFont="1" applyBorder="1" applyAlignment="1">
      <alignment horizontal="left"/>
    </xf>
    <xf numFmtId="0" fontId="32" fillId="0" borderId="13" xfId="0" applyFont="1" applyBorder="1" applyAlignment="1">
      <alignment horizontal="center"/>
    </xf>
    <xf numFmtId="164" fontId="32" fillId="0" borderId="13" xfId="0" applyNumberFormat="1" applyFont="1" applyBorder="1"/>
    <xf numFmtId="0" fontId="25" fillId="0" borderId="14" xfId="0" applyFont="1" applyBorder="1"/>
    <xf numFmtId="0" fontId="24" fillId="0" borderId="14" xfId="0" applyFont="1" applyBorder="1"/>
    <xf numFmtId="164" fontId="25" fillId="0" borderId="14" xfId="0" applyNumberFormat="1" applyFont="1" applyBorder="1"/>
    <xf numFmtId="0" fontId="24" fillId="4" borderId="0" xfId="0" applyFont="1" applyFill="1"/>
    <xf numFmtId="0" fontId="25" fillId="4" borderId="0" xfId="0" applyFont="1" applyFill="1"/>
    <xf numFmtId="0" fontId="24" fillId="4" borderId="34" xfId="0" applyFont="1" applyFill="1" applyBorder="1"/>
    <xf numFmtId="0" fontId="25" fillId="4" borderId="0" xfId="0" applyFont="1" applyFill="1" applyAlignment="1">
      <alignment horizontal="left"/>
    </xf>
    <xf numFmtId="0" fontId="24" fillId="4" borderId="0" xfId="0" applyFont="1" applyFill="1" applyAlignment="1">
      <alignment horizontal="left" vertical="top" wrapText="1"/>
    </xf>
    <xf numFmtId="0" fontId="24" fillId="4" borderId="0" xfId="0" quotePrefix="1" applyFont="1" applyFill="1" applyAlignment="1">
      <alignment horizontal="left"/>
    </xf>
    <xf numFmtId="0" fontId="24" fillId="4" borderId="0" xfId="0" applyFont="1" applyFill="1" applyAlignment="1">
      <alignment horizontal="left"/>
    </xf>
    <xf numFmtId="0" fontId="24" fillId="4" borderId="0" xfId="0" applyFont="1" applyFill="1" applyAlignment="1">
      <alignment vertical="justify" wrapText="1"/>
    </xf>
    <xf numFmtId="0" fontId="24" fillId="4" borderId="0" xfId="0" applyFont="1" applyFill="1" applyAlignment="1">
      <alignment horizontal="left" vertical="top"/>
    </xf>
    <xf numFmtId="0" fontId="24" fillId="4" borderId="0" xfId="0" applyFont="1" applyFill="1" applyAlignment="1">
      <alignment horizontal="left" vertical="center"/>
    </xf>
    <xf numFmtId="0" fontId="25" fillId="4" borderId="2" xfId="0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left"/>
    </xf>
    <xf numFmtId="0" fontId="24" fillId="4" borderId="13" xfId="0" applyFont="1" applyFill="1" applyBorder="1"/>
    <xf numFmtId="0" fontId="25" fillId="4" borderId="14" xfId="0" applyFont="1" applyFill="1" applyBorder="1"/>
    <xf numFmtId="0" fontId="32" fillId="4" borderId="0" xfId="0" applyFont="1" applyFill="1"/>
    <xf numFmtId="0" fontId="24" fillId="4" borderId="9" xfId="0" applyFont="1" applyFill="1" applyBorder="1" applyAlignment="1">
      <alignment horizontal="center"/>
    </xf>
    <xf numFmtId="0" fontId="38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vertical="top"/>
    </xf>
    <xf numFmtId="0" fontId="31" fillId="4" borderId="0" xfId="0" applyFont="1" applyFill="1" applyAlignment="1">
      <alignment horizontal="left"/>
    </xf>
    <xf numFmtId="0" fontId="32" fillId="4" borderId="0" xfId="0" applyFont="1" applyFill="1" applyAlignment="1">
      <alignment horizontal="left" vertical="top" wrapText="1"/>
    </xf>
    <xf numFmtId="0" fontId="32" fillId="4" borderId="0" xfId="0" quotePrefix="1" applyFont="1" applyFill="1" applyAlignment="1">
      <alignment horizontal="left"/>
    </xf>
    <xf numFmtId="0" fontId="24" fillId="4" borderId="0" xfId="0" applyFont="1" applyFill="1" applyAlignment="1">
      <alignment horizontal="center"/>
    </xf>
    <xf numFmtId="0" fontId="34" fillId="4" borderId="0" xfId="0" applyFont="1" applyFill="1" applyAlignment="1">
      <alignment horizontal="center"/>
    </xf>
    <xf numFmtId="0" fontId="32" fillId="4" borderId="0" xfId="0" applyFont="1" applyFill="1" applyAlignment="1">
      <alignment horizontal="left"/>
    </xf>
    <xf numFmtId="0" fontId="34" fillId="4" borderId="0" xfId="0" applyFont="1" applyFill="1"/>
    <xf numFmtId="0" fontId="29" fillId="4" borderId="0" xfId="0" applyFont="1" applyFill="1" applyAlignment="1">
      <alignment vertical="center"/>
    </xf>
    <xf numFmtId="0" fontId="24" fillId="4" borderId="14" xfId="0" applyFont="1" applyFill="1" applyBorder="1"/>
    <xf numFmtId="0" fontId="25" fillId="4" borderId="9" xfId="0" applyFont="1" applyFill="1" applyBorder="1" applyAlignment="1">
      <alignment horizontal="right"/>
    </xf>
    <xf numFmtId="0" fontId="37" fillId="4" borderId="0" xfId="0" applyFont="1" applyFill="1"/>
    <xf numFmtId="0" fontId="39" fillId="4" borderId="0" xfId="0" applyFont="1" applyFill="1"/>
    <xf numFmtId="0" fontId="32" fillId="4" borderId="0" xfId="0" applyFont="1" applyFill="1" applyAlignment="1">
      <alignment horizontal="center"/>
    </xf>
    <xf numFmtId="0" fontId="17" fillId="9" borderId="10" xfId="8" applyFont="1" applyFill="1" applyBorder="1" applyAlignment="1">
      <alignment horizontal="center" vertical="top"/>
    </xf>
    <xf numFmtId="0" fontId="8" fillId="0" borderId="21" xfId="8" applyBorder="1"/>
    <xf numFmtId="0" fontId="8" fillId="0" borderId="22" xfId="8" applyBorder="1" applyAlignment="1">
      <alignment vertical="center"/>
    </xf>
    <xf numFmtId="0" fontId="8" fillId="0" borderId="17" xfId="8" applyBorder="1"/>
    <xf numFmtId="0" fontId="8" fillId="2" borderId="5" xfId="8" applyFill="1" applyBorder="1" applyAlignment="1">
      <alignment vertical="top" wrapText="1"/>
    </xf>
    <xf numFmtId="0" fontId="8" fillId="0" borderId="5" xfId="8" applyBorder="1"/>
    <xf numFmtId="0" fontId="11" fillId="9" borderId="15" xfId="12" applyFont="1" applyFill="1" applyBorder="1" applyAlignment="1">
      <alignment horizontal="center" vertical="center"/>
    </xf>
    <xf numFmtId="0" fontId="11" fillId="9" borderId="17" xfId="12" applyFont="1" applyFill="1" applyBorder="1" applyAlignment="1">
      <alignment horizontal="center" vertical="center"/>
    </xf>
    <xf numFmtId="0" fontId="11" fillId="9" borderId="15" xfId="12" applyFont="1" applyFill="1" applyBorder="1" applyAlignment="1">
      <alignment horizontal="center" vertical="center" wrapText="1"/>
    </xf>
    <xf numFmtId="164" fontId="32" fillId="0" borderId="35" xfId="0" applyNumberFormat="1" applyFont="1" applyBorder="1"/>
    <xf numFmtId="164" fontId="32" fillId="0" borderId="36" xfId="0" applyNumberFormat="1" applyFont="1" applyBorder="1"/>
    <xf numFmtId="164" fontId="32" fillId="0" borderId="38" xfId="0" applyNumberFormat="1" applyFont="1" applyBorder="1"/>
    <xf numFmtId="164" fontId="32" fillId="0" borderId="36" xfId="0" applyNumberFormat="1" applyFont="1" applyBorder="1" applyAlignment="1">
      <alignment horizontal="center" wrapText="1"/>
    </xf>
    <xf numFmtId="164" fontId="32" fillId="0" borderId="36" xfId="0" applyNumberFormat="1" applyFont="1" applyBorder="1" applyAlignment="1">
      <alignment horizontal="center"/>
    </xf>
    <xf numFmtId="164" fontId="32" fillId="0" borderId="40" xfId="0" applyNumberFormat="1" applyFont="1" applyBorder="1"/>
    <xf numFmtId="164" fontId="32" fillId="0" borderId="41" xfId="0" applyNumberFormat="1" applyFont="1" applyBorder="1"/>
    <xf numFmtId="164" fontId="32" fillId="0" borderId="42" xfId="0" applyNumberFormat="1" applyFont="1" applyBorder="1"/>
    <xf numFmtId="0" fontId="52" fillId="2" borderId="2" xfId="0" applyFont="1" applyFill="1" applyBorder="1" applyAlignment="1">
      <alignment vertical="center"/>
    </xf>
    <xf numFmtId="0" fontId="52" fillId="2" borderId="2" xfId="0" applyFont="1" applyFill="1" applyBorder="1" applyAlignment="1">
      <alignment horizontal="center" vertical="center"/>
    </xf>
    <xf numFmtId="0" fontId="53" fillId="2" borderId="2" xfId="0" applyFont="1" applyFill="1" applyBorder="1" applyAlignment="1">
      <alignment horizontal="center" vertical="center" wrapText="1"/>
    </xf>
    <xf numFmtId="0" fontId="55" fillId="2" borderId="2" xfId="0" applyFont="1" applyFill="1" applyBorder="1" applyAlignment="1">
      <alignment horizontal="center" vertical="center" wrapText="1"/>
    </xf>
    <xf numFmtId="0" fontId="52" fillId="0" borderId="39" xfId="0" applyFont="1" applyBorder="1" applyAlignment="1">
      <alignment horizontal="left" vertical="center"/>
    </xf>
    <xf numFmtId="0" fontId="52" fillId="0" borderId="39" xfId="0" applyFont="1" applyBorder="1" applyAlignment="1">
      <alignment horizontal="left"/>
    </xf>
    <xf numFmtId="0" fontId="52" fillId="0" borderId="39" xfId="0" applyFont="1" applyBorder="1" applyAlignment="1">
      <alignment horizontal="center"/>
    </xf>
    <xf numFmtId="167" fontId="56" fillId="0" borderId="39" xfId="0" applyNumberFormat="1" applyFont="1" applyBorder="1" applyAlignment="1">
      <alignment horizontal="center"/>
    </xf>
    <xf numFmtId="164" fontId="56" fillId="0" borderId="39" xfId="0" applyNumberFormat="1" applyFont="1" applyBorder="1"/>
    <xf numFmtId="0" fontId="57" fillId="0" borderId="0" xfId="0" applyFont="1"/>
    <xf numFmtId="0" fontId="56" fillId="0" borderId="0" xfId="0" applyFont="1"/>
    <xf numFmtId="0" fontId="56" fillId="0" borderId="0" xfId="0" applyFont="1" applyAlignment="1">
      <alignment horizontal="center"/>
    </xf>
    <xf numFmtId="164" fontId="57" fillId="0" borderId="0" xfId="0" applyNumberFormat="1" applyFont="1"/>
    <xf numFmtId="0" fontId="56" fillId="2" borderId="9" xfId="0" applyFont="1" applyFill="1" applyBorder="1"/>
    <xf numFmtId="0" fontId="56" fillId="2" borderId="9" xfId="0" applyFont="1" applyFill="1" applyBorder="1" applyAlignment="1">
      <alignment horizontal="left"/>
    </xf>
    <xf numFmtId="0" fontId="56" fillId="2" borderId="9" xfId="0" applyFont="1" applyFill="1" applyBorder="1" applyAlignment="1">
      <alignment horizontal="center"/>
    </xf>
    <xf numFmtId="0" fontId="52" fillId="2" borderId="9" xfId="0" applyFont="1" applyFill="1" applyBorder="1" applyAlignment="1">
      <alignment horizontal="right"/>
    </xf>
    <xf numFmtId="0" fontId="52" fillId="2" borderId="9" xfId="0" applyFont="1" applyFill="1" applyBorder="1" applyAlignment="1">
      <alignment horizontal="center"/>
    </xf>
    <xf numFmtId="0" fontId="52" fillId="2" borderId="0" xfId="0" applyFont="1" applyFill="1"/>
    <xf numFmtId="0" fontId="52" fillId="0" borderId="0" xfId="0" applyFont="1" applyAlignment="1">
      <alignment horizontal="center"/>
    </xf>
    <xf numFmtId="0" fontId="59" fillId="0" borderId="20" xfId="0" applyFont="1" applyBorder="1" applyAlignment="1">
      <alignment horizontal="right"/>
    </xf>
    <xf numFmtId="164" fontId="59" fillId="0" borderId="20" xfId="0" applyNumberFormat="1" applyFont="1" applyBorder="1"/>
    <xf numFmtId="0" fontId="61" fillId="0" borderId="0" xfId="0" applyFont="1" applyAlignment="1">
      <alignment horizontal="left"/>
    </xf>
    <xf numFmtId="0" fontId="59" fillId="0" borderId="0" xfId="0" applyFont="1" applyAlignment="1">
      <alignment horizontal="center" vertical="center" wrapText="1"/>
    </xf>
    <xf numFmtId="0" fontId="56" fillId="0" borderId="13" xfId="0" applyFont="1" applyBorder="1" applyAlignment="1">
      <alignment horizontal="right"/>
    </xf>
    <xf numFmtId="164" fontId="56" fillId="0" borderId="13" xfId="0" applyNumberFormat="1" applyFont="1" applyBorder="1"/>
    <xf numFmtId="0" fontId="61" fillId="0" borderId="0" xfId="0" applyFont="1" applyAlignment="1">
      <alignment horizontal="left" vertical="center"/>
    </xf>
    <xf numFmtId="0" fontId="56" fillId="0" borderId="0" xfId="0" applyFont="1" applyAlignment="1">
      <alignment horizontal="right"/>
    </xf>
    <xf numFmtId="164" fontId="56" fillId="0" borderId="0" xfId="0" applyNumberFormat="1" applyFont="1"/>
    <xf numFmtId="0" fontId="62" fillId="0" borderId="0" xfId="0" applyFont="1"/>
    <xf numFmtId="0" fontId="61" fillId="0" borderId="0" xfId="0" applyFont="1" applyAlignment="1">
      <alignment horizontal="left" vertical="top"/>
    </xf>
    <xf numFmtId="0" fontId="63" fillId="0" borderId="0" xfId="0" applyFont="1" applyAlignment="1">
      <alignment horizontal="center" vertical="center"/>
    </xf>
    <xf numFmtId="0" fontId="62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164" fontId="63" fillId="15" borderId="0" xfId="2" applyFont="1" applyFill="1" applyBorder="1" applyAlignment="1">
      <alignment vertical="center"/>
    </xf>
    <xf numFmtId="0" fontId="64" fillId="2" borderId="2" xfId="0" applyFont="1" applyFill="1" applyBorder="1" applyAlignment="1">
      <alignment horizontal="center" vertical="center" wrapText="1"/>
    </xf>
    <xf numFmtId="1" fontId="57" fillId="0" borderId="0" xfId="0" applyNumberFormat="1" applyFont="1" applyAlignment="1">
      <alignment horizontal="center" vertical="center"/>
    </xf>
    <xf numFmtId="164" fontId="32" fillId="0" borderId="14" xfId="0" applyNumberFormat="1" applyFont="1" applyBorder="1"/>
    <xf numFmtId="164" fontId="32" fillId="0" borderId="43" xfId="0" applyNumberFormat="1" applyFont="1" applyBorder="1"/>
    <xf numFmtId="0" fontId="8" fillId="0" borderId="8" xfId="8" applyBorder="1" applyAlignment="1">
      <alignment horizontal="center" vertical="center"/>
    </xf>
    <xf numFmtId="0" fontId="11" fillId="9" borderId="15" xfId="8" applyFont="1" applyFill="1" applyBorder="1" applyAlignment="1">
      <alignment horizontal="center" vertical="top"/>
    </xf>
    <xf numFmtId="0" fontId="11" fillId="9" borderId="16" xfId="8" applyFont="1" applyFill="1" applyBorder="1" applyAlignment="1">
      <alignment horizontal="center" vertical="top"/>
    </xf>
    <xf numFmtId="0" fontId="8" fillId="0" borderId="12" xfId="8" applyBorder="1" applyAlignment="1">
      <alignment horizontal="center" vertical="center"/>
    </xf>
    <xf numFmtId="0" fontId="11" fillId="9" borderId="17" xfId="12" applyFont="1" applyFill="1" applyBorder="1" applyAlignment="1">
      <alignment horizontal="center" vertical="center" wrapText="1"/>
    </xf>
    <xf numFmtId="164" fontId="32" fillId="0" borderId="44" xfId="0" applyNumberFormat="1" applyFont="1" applyBorder="1"/>
    <xf numFmtId="164" fontId="32" fillId="0" borderId="45" xfId="0" applyNumberFormat="1" applyFont="1" applyBorder="1"/>
    <xf numFmtId="0" fontId="10" fillId="0" borderId="0" xfId="8" applyFont="1" applyAlignment="1">
      <alignment horizontal="left" indent="2"/>
    </xf>
    <xf numFmtId="0" fontId="8" fillId="0" borderId="4" xfId="8" applyBorder="1"/>
    <xf numFmtId="0" fontId="8" fillId="0" borderId="16" xfId="8" applyBorder="1"/>
    <xf numFmtId="0" fontId="8" fillId="0" borderId="18" xfId="8" applyBorder="1"/>
    <xf numFmtId="0" fontId="10" fillId="0" borderId="18" xfId="8" applyFont="1" applyBorder="1"/>
    <xf numFmtId="168" fontId="56" fillId="2" borderId="0" xfId="0" applyNumberFormat="1" applyFont="1" applyFill="1" applyAlignment="1">
      <alignment horizontal="center"/>
    </xf>
    <xf numFmtId="0" fontId="58" fillId="0" borderId="0" xfId="0" applyFont="1" applyAlignment="1">
      <alignment horizontal="left"/>
    </xf>
    <xf numFmtId="0" fontId="57" fillId="0" borderId="47" xfId="0" applyFont="1" applyBorder="1" applyAlignment="1">
      <alignment horizontal="left" vertical="top" wrapText="1"/>
    </xf>
    <xf numFmtId="164" fontId="57" fillId="0" borderId="36" xfId="0" applyNumberFormat="1" applyFont="1" applyBorder="1" applyAlignment="1">
      <alignment horizontal="left" vertical="top"/>
    </xf>
    <xf numFmtId="0" fontId="52" fillId="0" borderId="0" xfId="0" applyFont="1"/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vertical="center"/>
    </xf>
    <xf numFmtId="0" fontId="56" fillId="0" borderId="34" xfId="0" applyFont="1" applyBorder="1"/>
    <xf numFmtId="0" fontId="56" fillId="0" borderId="34" xfId="0" applyFont="1" applyBorder="1" applyAlignment="1">
      <alignment horizontal="center"/>
    </xf>
    <xf numFmtId="0" fontId="67" fillId="0" borderId="0" xfId="0" applyFont="1" applyAlignment="1">
      <alignment horizontal="center" vertical="center"/>
    </xf>
    <xf numFmtId="0" fontId="67" fillId="0" borderId="0" xfId="0" applyFont="1" applyAlignment="1">
      <alignment vertical="center"/>
    </xf>
    <xf numFmtId="0" fontId="68" fillId="0" borderId="0" xfId="0" applyFont="1"/>
    <xf numFmtId="0" fontId="69" fillId="0" borderId="0" xfId="0" applyFont="1" applyAlignment="1">
      <alignment vertical="center"/>
    </xf>
    <xf numFmtId="0" fontId="68" fillId="0" borderId="0" xfId="0" applyFont="1" applyAlignment="1">
      <alignment horizontal="left"/>
    </xf>
    <xf numFmtId="0" fontId="56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0" fontId="56" fillId="0" borderId="32" xfId="0" applyFont="1" applyBorder="1" applyAlignment="1">
      <alignment horizontal="left"/>
    </xf>
    <xf numFmtId="0" fontId="56" fillId="0" borderId="31" xfId="0" applyFont="1" applyBorder="1"/>
    <xf numFmtId="0" fontId="56" fillId="0" borderId="31" xfId="0" quotePrefix="1" applyFont="1" applyBorder="1" applyAlignment="1">
      <alignment horizontal="left"/>
    </xf>
    <xf numFmtId="0" fontId="56" fillId="0" borderId="31" xfId="0" applyFont="1" applyBorder="1" applyAlignment="1">
      <alignment horizontal="left"/>
    </xf>
    <xf numFmtId="0" fontId="52" fillId="0" borderId="1" xfId="0" applyFont="1" applyBorder="1" applyAlignment="1">
      <alignment horizontal="left"/>
    </xf>
    <xf numFmtId="0" fontId="56" fillId="0" borderId="0" xfId="0" applyFont="1" applyAlignment="1">
      <alignment horizontal="center" vertical="top"/>
    </xf>
    <xf numFmtId="0" fontId="56" fillId="0" borderId="0" xfId="0" applyFont="1" applyAlignment="1">
      <alignment horizontal="left" vertical="top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56" fillId="0" borderId="0" xfId="0" applyFont="1" applyAlignment="1">
      <alignment horizontal="center" vertical="center" wrapText="1"/>
    </xf>
    <xf numFmtId="0" fontId="56" fillId="0" borderId="0" xfId="0" applyFont="1" applyAlignment="1">
      <alignment horizontal="left" vertical="center" wrapText="1"/>
    </xf>
    <xf numFmtId="0" fontId="52" fillId="0" borderId="0" xfId="0" applyFont="1" applyAlignment="1">
      <alignment horizontal="center" vertical="center"/>
    </xf>
    <xf numFmtId="0" fontId="56" fillId="0" borderId="0" xfId="0" applyFont="1" applyAlignment="1">
      <alignment vertical="top"/>
    </xf>
    <xf numFmtId="0" fontId="68" fillId="0" borderId="0" xfId="0" applyFont="1" applyAlignment="1">
      <alignment horizontal="center" vertical="top"/>
    </xf>
    <xf numFmtId="0" fontId="57" fillId="0" borderId="31" xfId="0" applyFont="1" applyBorder="1" applyAlignment="1">
      <alignment horizontal="left"/>
    </xf>
    <xf numFmtId="0" fontId="57" fillId="0" borderId="31" xfId="0" applyFont="1" applyBorder="1"/>
    <xf numFmtId="0" fontId="57" fillId="0" borderId="31" xfId="0" quotePrefix="1" applyFont="1" applyBorder="1" applyAlignment="1">
      <alignment horizontal="left"/>
    </xf>
    <xf numFmtId="0" fontId="70" fillId="0" borderId="0" xfId="0" applyFont="1"/>
    <xf numFmtId="0" fontId="70" fillId="0" borderId="19" xfId="0" applyFont="1" applyBorder="1"/>
    <xf numFmtId="0" fontId="71" fillId="0" borderId="0" xfId="0" applyFont="1"/>
    <xf numFmtId="0" fontId="61" fillId="0" borderId="0" xfId="0" quotePrefix="1" applyFont="1" applyAlignment="1">
      <alignment horizontal="right" vertical="top"/>
    </xf>
    <xf numFmtId="0" fontId="72" fillId="0" borderId="0" xfId="0" applyFont="1"/>
    <xf numFmtId="0" fontId="59" fillId="0" borderId="0" xfId="0" applyFont="1"/>
    <xf numFmtId="0" fontId="59" fillId="0" borderId="0" xfId="0" applyFont="1" applyAlignment="1">
      <alignment horizontal="center"/>
    </xf>
    <xf numFmtId="164" fontId="56" fillId="0" borderId="0" xfId="2" applyFont="1"/>
    <xf numFmtId="0" fontId="56" fillId="0" borderId="7" xfId="0" applyFont="1" applyBorder="1" applyAlignment="1">
      <alignment horizontal="center"/>
    </xf>
    <xf numFmtId="0" fontId="72" fillId="0" borderId="7" xfId="0" applyFont="1" applyBorder="1"/>
    <xf numFmtId="15" fontId="57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74" fillId="0" borderId="0" xfId="0" applyFont="1" applyAlignment="1">
      <alignment vertical="center"/>
    </xf>
    <xf numFmtId="0" fontId="75" fillId="0" borderId="0" xfId="0" applyFont="1"/>
    <xf numFmtId="0" fontId="75" fillId="0" borderId="0" xfId="0" applyFont="1" applyAlignment="1">
      <alignment horizontal="center"/>
    </xf>
    <xf numFmtId="0" fontId="76" fillId="0" borderId="0" xfId="0" applyFont="1" applyAlignment="1">
      <alignment vertical="center"/>
    </xf>
    <xf numFmtId="0" fontId="76" fillId="0" borderId="0" xfId="0" applyFont="1" applyAlignment="1">
      <alignment vertical="top"/>
    </xf>
    <xf numFmtId="0" fontId="77" fillId="0" borderId="0" xfId="0" applyFont="1" applyAlignment="1">
      <alignment horizontal="left" vertical="top" indent="6"/>
    </xf>
    <xf numFmtId="0" fontId="72" fillId="0" borderId="0" xfId="0" applyFont="1" applyAlignment="1">
      <alignment vertical="top"/>
    </xf>
    <xf numFmtId="0" fontId="78" fillId="0" borderId="0" xfId="0" applyFont="1" applyAlignment="1">
      <alignment vertical="top"/>
    </xf>
    <xf numFmtId="0" fontId="78" fillId="0" borderId="0" xfId="0" applyFont="1"/>
    <xf numFmtId="0" fontId="78" fillId="0" borderId="0" xfId="0" applyFont="1" applyAlignment="1">
      <alignment horizontal="left" vertical="top" indent="6"/>
    </xf>
    <xf numFmtId="0" fontId="78" fillId="0" borderId="0" xfId="0" applyFont="1" applyAlignment="1">
      <alignment horizontal="left" indent="12"/>
    </xf>
    <xf numFmtId="0" fontId="78" fillId="0" borderId="0" xfId="0" applyFont="1" applyAlignment="1">
      <alignment horizontal="right"/>
    </xf>
    <xf numFmtId="0" fontId="78" fillId="0" borderId="0" xfId="0" applyFont="1" applyAlignment="1">
      <alignment horizontal="left"/>
    </xf>
    <xf numFmtId="0" fontId="75" fillId="0" borderId="0" xfId="0" applyFont="1" applyAlignment="1">
      <alignment vertical="top" wrapText="1"/>
    </xf>
    <xf numFmtId="0" fontId="72" fillId="0" borderId="0" xfId="0" applyFont="1" applyAlignment="1">
      <alignment horizontal="left" vertical="center"/>
    </xf>
    <xf numFmtId="0" fontId="78" fillId="0" borderId="0" xfId="0" applyFont="1" applyAlignment="1">
      <alignment horizontal="left" vertical="center"/>
    </xf>
    <xf numFmtId="0" fontId="79" fillId="0" borderId="0" xfId="0" applyFont="1" applyAlignment="1">
      <alignment vertical="top"/>
    </xf>
    <xf numFmtId="0" fontId="80" fillId="0" borderId="10" xfId="0" applyFont="1" applyBorder="1" applyAlignment="1">
      <alignment vertical="center" wrapText="1"/>
    </xf>
    <xf numFmtId="0" fontId="80" fillId="0" borderId="11" xfId="0" applyFont="1" applyBorder="1" applyAlignment="1">
      <alignment vertical="center"/>
    </xf>
    <xf numFmtId="0" fontId="80" fillId="0" borderId="12" xfId="0" applyFont="1" applyBorder="1" applyAlignment="1">
      <alignment vertical="center"/>
    </xf>
    <xf numFmtId="0" fontId="80" fillId="0" borderId="6" xfId="0" applyFont="1" applyBorder="1" applyAlignment="1">
      <alignment vertical="center"/>
    </xf>
    <xf numFmtId="0" fontId="80" fillId="0" borderId="7" xfId="0" applyFont="1" applyBorder="1" applyAlignment="1">
      <alignment vertical="center"/>
    </xf>
    <xf numFmtId="0" fontId="80" fillId="0" borderId="8" xfId="0" applyFont="1" applyBorder="1" applyAlignment="1">
      <alignment vertical="center"/>
    </xf>
    <xf numFmtId="0" fontId="80" fillId="0" borderId="3" xfId="0" applyFont="1" applyBorder="1" applyAlignment="1">
      <alignment vertical="center" wrapText="1"/>
    </xf>
    <xf numFmtId="0" fontId="80" fillId="0" borderId="4" xfId="0" applyFont="1" applyBorder="1" applyAlignment="1">
      <alignment vertical="center" wrapText="1"/>
    </xf>
    <xf numFmtId="0" fontId="4" fillId="0" borderId="3" xfId="8" applyFont="1" applyBorder="1" applyAlignment="1">
      <alignment horizontal="left"/>
    </xf>
    <xf numFmtId="0" fontId="11" fillId="16" borderId="15" xfId="12" applyFont="1" applyFill="1" applyBorder="1" applyAlignment="1">
      <alignment horizontal="center" vertical="center" wrapText="1"/>
    </xf>
    <xf numFmtId="0" fontId="4" fillId="0" borderId="5" xfId="8" applyFont="1" applyBorder="1" applyAlignment="1">
      <alignment horizontal="left"/>
    </xf>
    <xf numFmtId="0" fontId="4" fillId="0" borderId="10" xfId="8" applyFont="1" applyBorder="1"/>
    <xf numFmtId="0" fontId="4" fillId="0" borderId="3" xfId="8" applyFont="1" applyBorder="1"/>
    <xf numFmtId="0" fontId="4" fillId="0" borderId="6" xfId="8" applyFont="1" applyBorder="1" applyAlignment="1">
      <alignment horizontal="left" vertical="top"/>
    </xf>
    <xf numFmtId="0" fontId="84" fillId="0" borderId="6" xfId="8" applyFont="1" applyBorder="1"/>
    <xf numFmtId="0" fontId="84" fillId="0" borderId="7" xfId="8" applyFont="1" applyBorder="1" applyAlignment="1">
      <alignment horizontal="left"/>
    </xf>
    <xf numFmtId="0" fontId="85" fillId="2" borderId="0" xfId="8" applyFont="1" applyFill="1" applyAlignment="1">
      <alignment wrapText="1"/>
    </xf>
    <xf numFmtId="0" fontId="8" fillId="0" borderId="11" xfId="8" applyBorder="1" applyAlignment="1">
      <alignment horizontal="center" vertical="center"/>
    </xf>
    <xf numFmtId="0" fontId="8" fillId="0" borderId="7" xfId="8" applyBorder="1" applyAlignment="1">
      <alignment horizontal="center" vertical="center"/>
    </xf>
    <xf numFmtId="0" fontId="7" fillId="0" borderId="0" xfId="8" applyFont="1" applyAlignment="1">
      <alignment vertical="center"/>
    </xf>
    <xf numFmtId="0" fontId="7" fillId="0" borderId="6" xfId="8" applyFont="1" applyBorder="1"/>
    <xf numFmtId="0" fontId="3" fillId="0" borderId="21" xfId="8" applyFont="1" applyBorder="1" applyAlignment="1">
      <alignment horizontal="left" vertical="center"/>
    </xf>
    <xf numFmtId="0" fontId="3" fillId="0" borderId="5" xfId="8" applyFont="1" applyBorder="1" applyAlignment="1">
      <alignment horizontal="left" vertical="top"/>
    </xf>
    <xf numFmtId="0" fontId="3" fillId="0" borderId="5" xfId="8" applyFont="1" applyBorder="1" applyAlignment="1">
      <alignment vertical="center"/>
    </xf>
    <xf numFmtId="164" fontId="32" fillId="0" borderId="48" xfId="0" applyNumberFormat="1" applyFont="1" applyBorder="1"/>
    <xf numFmtId="164" fontId="32" fillId="0" borderId="49" xfId="0" applyNumberFormat="1" applyFont="1" applyBorder="1"/>
    <xf numFmtId="164" fontId="32" fillId="0" borderId="47" xfId="0" applyNumberFormat="1" applyFont="1" applyBorder="1"/>
    <xf numFmtId="164" fontId="32" fillId="0" borderId="7" xfId="0" applyNumberFormat="1" applyFont="1" applyBorder="1"/>
    <xf numFmtId="0" fontId="8" fillId="0" borderId="35" xfId="8" applyBorder="1"/>
    <xf numFmtId="0" fontId="8" fillId="0" borderId="37" xfId="8" applyBorder="1"/>
    <xf numFmtId="0" fontId="8" fillId="0" borderId="50" xfId="8" applyBorder="1"/>
    <xf numFmtId="164" fontId="32" fillId="0" borderId="50" xfId="0" applyNumberFormat="1" applyFont="1" applyBorder="1"/>
    <xf numFmtId="0" fontId="84" fillId="0" borderId="3" xfId="8" applyFont="1" applyBorder="1"/>
    <xf numFmtId="0" fontId="84" fillId="0" borderId="0" xfId="8" applyFont="1" applyAlignment="1">
      <alignment horizontal="left"/>
    </xf>
    <xf numFmtId="0" fontId="8" fillId="0" borderId="27" xfId="8" applyBorder="1"/>
    <xf numFmtId="0" fontId="8" fillId="0" borderId="30" xfId="8" applyBorder="1"/>
    <xf numFmtId="0" fontId="2" fillId="0" borderId="21" xfId="8" applyFont="1" applyBorder="1" applyAlignment="1">
      <alignment horizontal="left"/>
    </xf>
    <xf numFmtId="0" fontId="2" fillId="0" borderId="22" xfId="8" applyFont="1" applyBorder="1" applyAlignment="1">
      <alignment horizontal="left"/>
    </xf>
    <xf numFmtId="169" fontId="4" fillId="0" borderId="16" xfId="8" applyNumberFormat="1" applyFont="1" applyBorder="1" applyAlignment="1">
      <alignment horizontal="center" vertical="center"/>
    </xf>
    <xf numFmtId="169" fontId="2" fillId="0" borderId="18" xfId="8" applyNumberFormat="1" applyFont="1" applyBorder="1" applyAlignment="1">
      <alignment horizontal="center" vertical="center"/>
    </xf>
    <xf numFmtId="169" fontId="4" fillId="0" borderId="17" xfId="8" applyNumberFormat="1" applyFont="1" applyBorder="1" applyAlignment="1">
      <alignment horizontal="center" vertical="center"/>
    </xf>
    <xf numFmtId="169" fontId="2" fillId="0" borderId="0" xfId="8" applyNumberFormat="1" applyFont="1"/>
    <xf numFmtId="169" fontId="8" fillId="0" borderId="0" xfId="8" applyNumberFormat="1"/>
    <xf numFmtId="169" fontId="13" fillId="0" borderId="0" xfId="8" applyNumberFormat="1" applyFont="1" applyAlignment="1">
      <alignment vertical="center"/>
    </xf>
    <xf numFmtId="169" fontId="7" fillId="0" borderId="0" xfId="8" applyNumberFormat="1" applyFont="1" applyAlignment="1">
      <alignment vertical="center"/>
    </xf>
    <xf numFmtId="169" fontId="7" fillId="0" borderId="0" xfId="8" applyNumberFormat="1" applyFont="1"/>
    <xf numFmtId="169" fontId="11" fillId="16" borderId="0" xfId="12" applyNumberFormat="1" applyFont="1" applyFill="1" applyAlignment="1">
      <alignment vertical="center" wrapText="1"/>
    </xf>
    <xf numFmtId="169" fontId="2" fillId="0" borderId="0" xfId="8" applyNumberFormat="1" applyFont="1" applyAlignment="1">
      <alignment horizontal="center"/>
    </xf>
    <xf numFmtId="0" fontId="55" fillId="0" borderId="31" xfId="0" applyFont="1" applyBorder="1" applyAlignment="1">
      <alignment horizontal="left"/>
    </xf>
    <xf numFmtId="0" fontId="56" fillId="0" borderId="0" xfId="0" applyFont="1" applyAlignment="1">
      <alignment horizontal="left" vertical="top" wrapText="1"/>
    </xf>
    <xf numFmtId="0" fontId="56" fillId="0" borderId="0" xfId="0" quotePrefix="1" applyFont="1" applyAlignment="1">
      <alignment horizontal="left"/>
    </xf>
    <xf numFmtId="0" fontId="57" fillId="0" borderId="0" xfId="0" applyFont="1" applyAlignment="1">
      <alignment horizontal="left" vertical="top" wrapText="1"/>
    </xf>
    <xf numFmtId="0" fontId="57" fillId="0" borderId="31" xfId="0" applyFont="1" applyBorder="1" applyAlignment="1">
      <alignment horizontal="left" vertical="top" wrapText="1"/>
    </xf>
    <xf numFmtId="0" fontId="88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9" fillId="0" borderId="0" xfId="0" applyFont="1"/>
    <xf numFmtId="0" fontId="0" fillId="0" borderId="0" xfId="0" quotePrefix="1"/>
    <xf numFmtId="0" fontId="56" fillId="0" borderId="0" xfId="0" applyFont="1" applyAlignment="1">
      <alignment horizontal="center"/>
    </xf>
    <xf numFmtId="0" fontId="56" fillId="2" borderId="0" xfId="0" applyFont="1" applyFill="1"/>
    <xf numFmtId="0" fontId="80" fillId="2" borderId="0" xfId="0" applyFont="1" applyFill="1" applyAlignment="1">
      <alignment vertical="center"/>
    </xf>
    <xf numFmtId="0" fontId="80" fillId="2" borderId="0" xfId="0" applyFont="1" applyFill="1" applyAlignment="1">
      <alignment vertical="center" wrapText="1"/>
    </xf>
    <xf numFmtId="0" fontId="52" fillId="0" borderId="18" xfId="0" applyFont="1" applyBorder="1" applyAlignment="1">
      <alignment horizontal="left" vertical="center"/>
    </xf>
    <xf numFmtId="0" fontId="57" fillId="0" borderId="18" xfId="0" applyFont="1" applyBorder="1"/>
    <xf numFmtId="0" fontId="56" fillId="0" borderId="18" xfId="0" applyFont="1" applyBorder="1"/>
    <xf numFmtId="0" fontId="56" fillId="0" borderId="18" xfId="0" applyFont="1" applyBorder="1" applyAlignment="1">
      <alignment horizontal="center"/>
    </xf>
    <xf numFmtId="1" fontId="57" fillId="0" borderId="18" xfId="0" applyNumberFormat="1" applyFont="1" applyBorder="1" applyAlignment="1">
      <alignment horizontal="center" vertical="center"/>
    </xf>
    <xf numFmtId="164" fontId="57" fillId="0" borderId="18" xfId="0" applyNumberFormat="1" applyFont="1" applyBorder="1"/>
    <xf numFmtId="164" fontId="57" fillId="0" borderId="36" xfId="0" applyNumberFormat="1" applyFont="1" applyBorder="1" applyAlignment="1">
      <alignment horizontal="center" vertical="top"/>
    </xf>
    <xf numFmtId="1" fontId="57" fillId="0" borderId="36" xfId="0" applyNumberFormat="1" applyFont="1" applyBorder="1" applyAlignment="1">
      <alignment horizontal="center" vertical="top"/>
    </xf>
    <xf numFmtId="164" fontId="57" fillId="0" borderId="51" xfId="0" applyNumberFormat="1" applyFont="1" applyBorder="1" applyAlignment="1">
      <alignment horizontal="left" vertical="top"/>
    </xf>
    <xf numFmtId="0" fontId="52" fillId="0" borderId="18" xfId="0" applyFont="1" applyBorder="1"/>
    <xf numFmtId="1" fontId="52" fillId="0" borderId="18" xfId="0" applyNumberFormat="1" applyFont="1" applyBorder="1" applyAlignment="1">
      <alignment horizontal="center" vertical="center"/>
    </xf>
    <xf numFmtId="164" fontId="52" fillId="0" borderId="18" xfId="0" applyNumberFormat="1" applyFont="1" applyBorder="1"/>
    <xf numFmtId="0" fontId="57" fillId="0" borderId="46" xfId="0" applyFont="1" applyBorder="1" applyAlignment="1">
      <alignment horizontal="center" vertical="top" wrapText="1"/>
    </xf>
    <xf numFmtId="0" fontId="57" fillId="0" borderId="47" xfId="0" applyFont="1" applyBorder="1" applyAlignment="1">
      <alignment horizontal="center" vertical="top" wrapText="1"/>
    </xf>
    <xf numFmtId="0" fontId="57" fillId="0" borderId="48" xfId="0" applyFont="1" applyBorder="1" applyAlignment="1">
      <alignment horizontal="center" vertical="top" wrapText="1"/>
    </xf>
    <xf numFmtId="164" fontId="57" fillId="0" borderId="40" xfId="0" applyNumberFormat="1" applyFont="1" applyBorder="1" applyAlignment="1">
      <alignment horizontal="left" vertical="top"/>
    </xf>
    <xf numFmtId="164" fontId="57" fillId="0" borderId="40" xfId="0" applyNumberFormat="1" applyFont="1" applyBorder="1" applyAlignment="1">
      <alignment horizontal="center" vertical="top"/>
    </xf>
    <xf numFmtId="1" fontId="57" fillId="0" borderId="40" xfId="0" applyNumberFormat="1" applyFont="1" applyBorder="1" applyAlignment="1">
      <alignment horizontal="center" vertical="top"/>
    </xf>
    <xf numFmtId="164" fontId="57" fillId="0" borderId="52" xfId="0" applyNumberFormat="1" applyFont="1" applyBorder="1" applyAlignment="1">
      <alignment horizontal="left" vertical="top"/>
    </xf>
    <xf numFmtId="164" fontId="57" fillId="0" borderId="41" xfId="0" applyNumberFormat="1" applyFont="1" applyBorder="1" applyAlignment="1">
      <alignment horizontal="left" vertical="top"/>
    </xf>
    <xf numFmtId="164" fontId="57" fillId="0" borderId="41" xfId="0" applyNumberFormat="1" applyFont="1" applyBorder="1" applyAlignment="1">
      <alignment horizontal="center" vertical="top"/>
    </xf>
    <xf numFmtId="1" fontId="57" fillId="0" borderId="41" xfId="0" applyNumberFormat="1" applyFont="1" applyBorder="1" applyAlignment="1">
      <alignment horizontal="center" vertical="top"/>
    </xf>
    <xf numFmtId="0" fontId="63" fillId="15" borderId="0" xfId="0" applyFont="1" applyFill="1" applyAlignment="1">
      <alignment horizontal="left" vertical="center"/>
    </xf>
    <xf numFmtId="164" fontId="57" fillId="0" borderId="36" xfId="0" applyNumberFormat="1" applyFont="1" applyBorder="1" applyAlignment="1">
      <alignment horizontal="left" vertical="top" wrapText="1"/>
    </xf>
    <xf numFmtId="164" fontId="57" fillId="0" borderId="40" xfId="0" applyNumberFormat="1" applyFont="1" applyBorder="1" applyAlignment="1">
      <alignment horizontal="left" vertical="top" wrapText="1"/>
    </xf>
    <xf numFmtId="0" fontId="43" fillId="0" borderId="0" xfId="0" applyFont="1" applyAlignment="1">
      <alignment horizontal="center" wrapText="1"/>
    </xf>
    <xf numFmtId="0" fontId="27" fillId="0" borderId="10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5" fillId="0" borderId="31" xfId="0" applyFont="1" applyBorder="1" applyAlignment="1">
      <alignment horizontal="left"/>
    </xf>
    <xf numFmtId="0" fontId="24" fillId="0" borderId="33" xfId="0" applyFont="1" applyBorder="1" applyAlignment="1">
      <alignment horizontal="left" vertical="top" wrapText="1"/>
    </xf>
    <xf numFmtId="0" fontId="31" fillId="0" borderId="31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24" fillId="0" borderId="32" xfId="0" applyFont="1" applyBorder="1" applyAlignment="1">
      <alignment horizontal="left" vertical="top" wrapText="1"/>
    </xf>
    <xf numFmtId="0" fontId="24" fillId="0" borderId="0" xfId="0" applyFont="1" applyAlignment="1">
      <alignment horizontal="left"/>
    </xf>
    <xf numFmtId="166" fontId="24" fillId="0" borderId="0" xfId="0" applyNumberFormat="1" applyFont="1" applyAlignment="1">
      <alignment horizontal="left"/>
    </xf>
    <xf numFmtId="0" fontId="24" fillId="0" borderId="31" xfId="0" applyFont="1" applyBorder="1" applyAlignment="1">
      <alignment horizontal="left"/>
    </xf>
    <xf numFmtId="0" fontId="24" fillId="0" borderId="32" xfId="0" applyFont="1" applyBorder="1" applyAlignment="1">
      <alignment horizontal="left"/>
    </xf>
    <xf numFmtId="0" fontId="24" fillId="0" borderId="0" xfId="0" applyFont="1" applyAlignment="1">
      <alignment horizontal="justify" vertical="top" wrapText="1"/>
    </xf>
    <xf numFmtId="0" fontId="24" fillId="0" borderId="0" xfId="0" applyFont="1" applyAlignment="1">
      <alignment vertical="justify" wrapText="1"/>
    </xf>
    <xf numFmtId="0" fontId="24" fillId="0" borderId="0" xfId="0" applyFont="1" applyAlignment="1">
      <alignment horizontal="left" vertical="top"/>
    </xf>
    <xf numFmtId="0" fontId="25" fillId="2" borderId="2" xfId="0" applyFont="1" applyFill="1" applyBorder="1" applyAlignment="1">
      <alignment horizontal="center" vertical="center"/>
    </xf>
    <xf numFmtId="0" fontId="25" fillId="0" borderId="20" xfId="0" applyFont="1" applyBorder="1" applyAlignment="1">
      <alignment horizontal="left"/>
    </xf>
    <xf numFmtId="0" fontId="32" fillId="0" borderId="33" xfId="0" applyFont="1" applyBorder="1" applyAlignment="1">
      <alignment horizontal="left" vertical="top" wrapText="1"/>
    </xf>
    <xf numFmtId="0" fontId="32" fillId="0" borderId="32" xfId="0" applyFont="1" applyBorder="1" applyAlignment="1">
      <alignment horizontal="left" vertical="top" wrapText="1"/>
    </xf>
    <xf numFmtId="0" fontId="2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4" fontId="24" fillId="2" borderId="0" xfId="0" applyNumberFormat="1" applyFont="1" applyFill="1" applyAlignment="1">
      <alignment horizontal="left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vertical="top" wrapText="1"/>
    </xf>
    <xf numFmtId="0" fontId="49" fillId="0" borderId="0" xfId="0" applyFont="1" applyAlignment="1">
      <alignment horizontal="left" vertical="top" wrapText="1"/>
    </xf>
    <xf numFmtId="0" fontId="34" fillId="0" borderId="0" xfId="0" applyFont="1" applyAlignment="1">
      <alignment horizontal="center"/>
    </xf>
    <xf numFmtId="0" fontId="24" fillId="0" borderId="7" xfId="0" applyFont="1" applyBorder="1" applyAlignment="1">
      <alignment horizontal="center"/>
    </xf>
    <xf numFmtId="15" fontId="32" fillId="0" borderId="11" xfId="0" applyNumberFormat="1" applyFont="1" applyBorder="1" applyAlignment="1">
      <alignment horizontal="center"/>
    </xf>
    <xf numFmtId="0" fontId="49" fillId="0" borderId="0" xfId="0" applyFont="1" applyAlignment="1">
      <alignment horizontal="center" vertical="top" wrapText="1"/>
    </xf>
    <xf numFmtId="0" fontId="57" fillId="0" borderId="31" xfId="0" applyFont="1" applyBorder="1" applyAlignment="1">
      <alignment horizontal="left"/>
    </xf>
    <xf numFmtId="0" fontId="56" fillId="0" borderId="0" xfId="0" applyFont="1" applyAlignment="1">
      <alignment vertical="justify" wrapText="1"/>
    </xf>
    <xf numFmtId="0" fontId="56" fillId="0" borderId="0" xfId="0" applyFont="1" applyAlignment="1">
      <alignment horizontal="left" vertical="top"/>
    </xf>
    <xf numFmtId="0" fontId="55" fillId="0" borderId="31" xfId="0" applyFont="1" applyBorder="1" applyAlignment="1">
      <alignment horizontal="left"/>
    </xf>
    <xf numFmtId="164" fontId="57" fillId="0" borderId="36" xfId="0" applyNumberFormat="1" applyFont="1" applyBorder="1" applyAlignment="1">
      <alignment horizontal="left" vertical="top" wrapText="1"/>
    </xf>
    <xf numFmtId="0" fontId="78" fillId="0" borderId="0" xfId="1" applyFont="1" applyAlignment="1">
      <alignment horizontal="center"/>
    </xf>
    <xf numFmtId="0" fontId="78" fillId="0" borderId="0" xfId="0" applyFont="1" applyAlignment="1">
      <alignment horizontal="right" vertical="center"/>
    </xf>
    <xf numFmtId="0" fontId="78" fillId="0" borderId="0" xfId="1" applyFont="1" applyAlignment="1">
      <alignment horizontal="center" vertical="center"/>
    </xf>
    <xf numFmtId="0" fontId="56" fillId="0" borderId="7" xfId="0" applyFont="1" applyBorder="1" applyAlignment="1">
      <alignment horizontal="center"/>
    </xf>
    <xf numFmtId="164" fontId="57" fillId="0" borderId="41" xfId="0" applyNumberFormat="1" applyFont="1" applyBorder="1" applyAlignment="1">
      <alignment horizontal="left" vertical="top" wrapText="1"/>
    </xf>
    <xf numFmtId="164" fontId="57" fillId="0" borderId="40" xfId="0" applyNumberFormat="1" applyFont="1" applyBorder="1" applyAlignment="1">
      <alignment horizontal="left" vertical="top" wrapText="1"/>
    </xf>
    <xf numFmtId="0" fontId="56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56" fillId="0" borderId="0" xfId="0" applyFont="1" applyAlignment="1">
      <alignment horizontal="justify" vertical="top" wrapText="1"/>
    </xf>
    <xf numFmtId="15" fontId="57" fillId="0" borderId="11" xfId="0" applyNumberFormat="1" applyFont="1" applyBorder="1" applyAlignment="1">
      <alignment horizontal="center"/>
    </xf>
    <xf numFmtId="15" fontId="57" fillId="0" borderId="0" xfId="0" applyNumberFormat="1" applyFont="1" applyAlignment="1">
      <alignment horizontal="center"/>
    </xf>
    <xf numFmtId="0" fontId="59" fillId="0" borderId="0" xfId="0" applyFont="1" applyAlignment="1">
      <alignment horizontal="center" vertical="center"/>
    </xf>
    <xf numFmtId="0" fontId="52" fillId="0" borderId="31" xfId="0" applyFont="1" applyBorder="1" applyAlignment="1">
      <alignment horizontal="left"/>
    </xf>
    <xf numFmtId="0" fontId="56" fillId="0" borderId="33" xfId="0" applyFont="1" applyBorder="1" applyAlignment="1">
      <alignment horizontal="left" vertical="top" wrapText="1"/>
    </xf>
    <xf numFmtId="0" fontId="56" fillId="0" borderId="32" xfId="0" applyFont="1" applyBorder="1" applyAlignment="1">
      <alignment horizontal="left" vertical="top" wrapText="1"/>
    </xf>
    <xf numFmtId="166" fontId="56" fillId="0" borderId="0" xfId="0" applyNumberFormat="1" applyFont="1" applyAlignment="1">
      <alignment horizontal="left"/>
    </xf>
    <xf numFmtId="0" fontId="61" fillId="0" borderId="0" xfId="0" applyFont="1" applyAlignment="1">
      <alignment horizontal="left" vertical="center" wrapText="1"/>
    </xf>
    <xf numFmtId="0" fontId="56" fillId="0" borderId="31" xfId="0" applyFont="1" applyBorder="1" applyAlignment="1">
      <alignment horizontal="left"/>
    </xf>
    <xf numFmtId="0" fontId="56" fillId="0" borderId="32" xfId="0" applyFont="1" applyBorder="1" applyAlignment="1">
      <alignment horizontal="left"/>
    </xf>
    <xf numFmtId="0" fontId="81" fillId="0" borderId="0" xfId="0" applyFont="1" applyAlignment="1">
      <alignment horizontal="left" vertical="top"/>
    </xf>
    <xf numFmtId="0" fontId="66" fillId="0" borderId="0" xfId="0" applyFont="1" applyAlignment="1">
      <alignment horizontal="center" wrapText="1"/>
    </xf>
    <xf numFmtId="14" fontId="56" fillId="2" borderId="0" xfId="0" applyNumberFormat="1" applyFont="1" applyFill="1" applyAlignment="1">
      <alignment horizontal="left"/>
    </xf>
    <xf numFmtId="0" fontId="56" fillId="2" borderId="0" xfId="0" applyFont="1" applyFill="1" applyAlignment="1">
      <alignment horizontal="left"/>
    </xf>
    <xf numFmtId="0" fontId="57" fillId="0" borderId="32" xfId="0" applyFont="1" applyBorder="1" applyAlignment="1">
      <alignment horizontal="left" vertical="top" wrapText="1"/>
    </xf>
    <xf numFmtId="0" fontId="57" fillId="0" borderId="33" xfId="0" applyFont="1" applyBorder="1" applyAlignment="1">
      <alignment horizontal="left" vertical="top" wrapText="1"/>
    </xf>
    <xf numFmtId="0" fontId="10" fillId="0" borderId="0" xfId="8" applyFont="1" applyAlignment="1">
      <alignment horizontal="left" wrapText="1"/>
    </xf>
    <xf numFmtId="0" fontId="86" fillId="2" borderId="0" xfId="8" applyFont="1" applyFill="1" applyAlignment="1">
      <alignment horizontal="center" vertical="center"/>
    </xf>
    <xf numFmtId="0" fontId="8" fillId="0" borderId="21" xfId="8" applyBorder="1" applyAlignment="1">
      <alignment horizontal="center" wrapText="1"/>
    </xf>
    <xf numFmtId="0" fontId="8" fillId="0" borderId="22" xfId="8" applyBorder="1" applyAlignment="1">
      <alignment horizontal="center" wrapText="1"/>
    </xf>
    <xf numFmtId="0" fontId="11" fillId="9" borderId="15" xfId="8" applyFont="1" applyFill="1" applyBorder="1" applyAlignment="1">
      <alignment horizontal="center" vertical="top"/>
    </xf>
    <xf numFmtId="0" fontId="8" fillId="0" borderId="15" xfId="8" applyBorder="1" applyAlignment="1">
      <alignment vertical="top"/>
    </xf>
    <xf numFmtId="0" fontId="8" fillId="0" borderId="16" xfId="8" applyBorder="1" applyAlignment="1">
      <alignment vertical="top"/>
    </xf>
    <xf numFmtId="0" fontId="8" fillId="0" borderId="6" xfId="8" applyBorder="1" applyAlignment="1">
      <alignment horizontal="center" vertical="center"/>
    </xf>
    <xf numFmtId="0" fontId="8" fillId="0" borderId="8" xfId="8" applyBorder="1" applyAlignment="1">
      <alignment horizontal="center" vertical="center"/>
    </xf>
    <xf numFmtId="0" fontId="8" fillId="0" borderId="15" xfId="8" applyBorder="1" applyAlignment="1">
      <alignment horizontal="center"/>
    </xf>
    <xf numFmtId="0" fontId="13" fillId="0" borderId="15" xfId="8" applyFont="1" applyBorder="1" applyAlignment="1">
      <alignment horizontal="left" vertical="center"/>
    </xf>
    <xf numFmtId="0" fontId="8" fillId="0" borderId="15" xfId="8" applyBorder="1" applyAlignment="1">
      <alignment horizontal="left" vertical="top"/>
    </xf>
    <xf numFmtId="0" fontId="11" fillId="0" borderId="15" xfId="8" applyFont="1" applyBorder="1" applyAlignment="1">
      <alignment horizontal="left" vertical="center"/>
    </xf>
    <xf numFmtId="0" fontId="8" fillId="2" borderId="15" xfId="8" applyFill="1" applyBorder="1" applyAlignment="1">
      <alignment vertical="top" wrapText="1"/>
    </xf>
    <xf numFmtId="0" fontId="8" fillId="2" borderId="16" xfId="8" applyFill="1" applyBorder="1" applyAlignment="1">
      <alignment vertical="top" wrapText="1"/>
    </xf>
    <xf numFmtId="0" fontId="8" fillId="0" borderId="16" xfId="8" applyBorder="1" applyAlignment="1">
      <alignment horizontal="left" vertical="top"/>
    </xf>
    <xf numFmtId="0" fontId="8" fillId="2" borderId="15" xfId="8" applyFill="1" applyBorder="1" applyAlignment="1">
      <alignment vertical="top"/>
    </xf>
    <xf numFmtId="0" fontId="8" fillId="2" borderId="16" xfId="8" applyFill="1" applyBorder="1" applyAlignment="1">
      <alignment vertical="top"/>
    </xf>
    <xf numFmtId="0" fontId="11" fillId="2" borderId="15" xfId="8" applyFont="1" applyFill="1" applyBorder="1" applyAlignment="1">
      <alignment vertical="top"/>
    </xf>
    <xf numFmtId="0" fontId="11" fillId="2" borderId="16" xfId="8" applyFont="1" applyFill="1" applyBorder="1" applyAlignment="1">
      <alignment vertical="top"/>
    </xf>
    <xf numFmtId="0" fontId="8" fillId="0" borderId="10" xfId="8" applyBorder="1" applyAlignment="1">
      <alignment horizontal="left" vertical="top" wrapText="1"/>
    </xf>
    <xf numFmtId="0" fontId="8" fillId="0" borderId="11" xfId="8" applyBorder="1" applyAlignment="1">
      <alignment horizontal="left" vertical="top" wrapText="1"/>
    </xf>
    <xf numFmtId="0" fontId="8" fillId="0" borderId="3" xfId="8" applyBorder="1" applyAlignment="1">
      <alignment horizontal="left" vertical="top" wrapText="1"/>
    </xf>
    <xf numFmtId="0" fontId="8" fillId="0" borderId="0" xfId="8" applyAlignment="1">
      <alignment horizontal="left" vertical="top" wrapText="1"/>
    </xf>
    <xf numFmtId="0" fontId="8" fillId="0" borderId="4" xfId="8" applyBorder="1" applyAlignment="1">
      <alignment horizontal="left" vertical="top" wrapText="1"/>
    </xf>
    <xf numFmtId="169" fontId="8" fillId="0" borderId="15" xfId="8" applyNumberFormat="1" applyBorder="1" applyAlignment="1">
      <alignment horizontal="right"/>
    </xf>
    <xf numFmtId="0" fontId="11" fillId="9" borderId="16" xfId="8" applyFont="1" applyFill="1" applyBorder="1" applyAlignment="1">
      <alignment horizontal="center" vertical="top"/>
    </xf>
    <xf numFmtId="0" fontId="11" fillId="9" borderId="18" xfId="8" applyFont="1" applyFill="1" applyBorder="1" applyAlignment="1">
      <alignment horizontal="center" vertical="top"/>
    </xf>
    <xf numFmtId="0" fontId="11" fillId="9" borderId="11" xfId="8" applyFont="1" applyFill="1" applyBorder="1" applyAlignment="1">
      <alignment horizontal="center" vertical="top"/>
    </xf>
    <xf numFmtId="0" fontId="11" fillId="9" borderId="12" xfId="8" applyFont="1" applyFill="1" applyBorder="1" applyAlignment="1">
      <alignment horizontal="center" vertical="top"/>
    </xf>
    <xf numFmtId="0" fontId="11" fillId="9" borderId="17" xfId="8" applyFont="1" applyFill="1" applyBorder="1" applyAlignment="1">
      <alignment horizontal="center" vertical="top"/>
    </xf>
    <xf numFmtId="0" fontId="8" fillId="0" borderId="10" xfId="8" applyBorder="1" applyAlignment="1">
      <alignment horizontal="center" vertical="center"/>
    </xf>
    <xf numFmtId="0" fontId="8" fillId="0" borderId="11" xfId="8" applyBorder="1" applyAlignment="1">
      <alignment horizontal="center" vertical="center"/>
    </xf>
    <xf numFmtId="0" fontId="8" fillId="0" borderId="12" xfId="8" applyBorder="1" applyAlignment="1">
      <alignment horizontal="center" vertical="center"/>
    </xf>
    <xf numFmtId="0" fontId="8" fillId="0" borderId="7" xfId="8" applyBorder="1" applyAlignment="1">
      <alignment horizontal="center" vertical="center"/>
    </xf>
    <xf numFmtId="0" fontId="11" fillId="9" borderId="15" xfId="12" applyFont="1" applyFill="1" applyBorder="1" applyAlignment="1">
      <alignment horizontal="center" vertical="center"/>
    </xf>
    <xf numFmtId="0" fontId="11" fillId="9" borderId="16" xfId="8" applyFont="1" applyFill="1" applyBorder="1" applyAlignment="1">
      <alignment horizontal="center"/>
    </xf>
    <xf numFmtId="0" fontId="11" fillId="9" borderId="18" xfId="8" applyFont="1" applyFill="1" applyBorder="1" applyAlignment="1">
      <alignment horizontal="center"/>
    </xf>
    <xf numFmtId="0" fontId="11" fillId="9" borderId="17" xfId="8" applyFont="1" applyFill="1" applyBorder="1" applyAlignment="1">
      <alignment horizontal="center"/>
    </xf>
    <xf numFmtId="0" fontId="11" fillId="0" borderId="15" xfId="0" applyFont="1" applyBorder="1" applyAlignment="1">
      <alignment horizontal="center" vertical="center"/>
    </xf>
    <xf numFmtId="0" fontId="44" fillId="2" borderId="0" xfId="10" applyFont="1" applyFill="1" applyAlignment="1">
      <alignment horizontal="left"/>
    </xf>
    <xf numFmtId="0" fontId="10" fillId="0" borderId="0" xfId="10" applyFont="1" applyAlignment="1">
      <alignment horizontal="left" wrapText="1"/>
    </xf>
    <xf numFmtId="0" fontId="1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left" vertical="top"/>
    </xf>
    <xf numFmtId="0" fontId="7" fillId="0" borderId="15" xfId="0" applyFont="1" applyBorder="1" applyAlignment="1">
      <alignment horizontal="left" vertical="top"/>
    </xf>
    <xf numFmtId="0" fontId="46" fillId="0" borderId="7" xfId="0" quotePrefix="1" applyFont="1" applyBorder="1" applyAlignment="1">
      <alignment horizontal="left"/>
    </xf>
    <xf numFmtId="0" fontId="46" fillId="0" borderId="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87" fillId="0" borderId="0" xfId="0" applyFont="1" applyAlignment="1">
      <alignment horizontal="center" vertical="center"/>
    </xf>
    <xf numFmtId="164" fontId="57" fillId="0" borderId="41" xfId="0" applyNumberFormat="1" applyFont="1" applyBorder="1" applyAlignment="1">
      <alignment vertical="top" wrapText="1"/>
    </xf>
    <xf numFmtId="164" fontId="57" fillId="0" borderId="36" xfId="0" applyNumberFormat="1" applyFont="1" applyBorder="1" applyAlignment="1">
      <alignment vertical="top" wrapText="1"/>
    </xf>
  </cellXfs>
  <cellStyles count="14">
    <cellStyle name="Comma [0]" xfId="2" builtinId="6"/>
    <cellStyle name="Hyperlink" xfId="9" builtinId="8"/>
    <cellStyle name="Normal" xfId="0" builtinId="0"/>
    <cellStyle name="Normal 2" xfId="1"/>
    <cellStyle name="Normal 2 2" xfId="4"/>
    <cellStyle name="Normal 2 3" xfId="13"/>
    <cellStyle name="Normal 3" xfId="3"/>
    <cellStyle name="Normal 4" xfId="5"/>
    <cellStyle name="Normal 5" xfId="8"/>
    <cellStyle name="Normal 5 2" xfId="10"/>
    <cellStyle name="Normal 5 2 2" xfId="11"/>
    <cellStyle name="Normal 5 3" xfId="12"/>
    <cellStyle name="Normal 7" xfId="6"/>
    <cellStyle name="Normal 8" xfId="7"/>
  </cellStyles>
  <dxfs count="1">
    <dxf>
      <font>
        <b/>
        <i val="0"/>
        <color rgb="FFC00000"/>
      </font>
    </dxf>
  </dxfs>
  <tableStyles count="0" defaultTableStyle="TableStyleMedium9" defaultPivotStyle="PivotStyleLight16"/>
  <colors>
    <mruColors>
      <color rgb="FFEEEC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63501</xdr:colOff>
      <xdr:row>0</xdr:row>
      <xdr:rowOff>118211</xdr:rowOff>
    </xdr:from>
    <xdr:to>
      <xdr:col>2</xdr:col>
      <xdr:colOff>1139826</xdr:colOff>
      <xdr:row>4</xdr:row>
      <xdr:rowOff>10584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E519F182-A205-4173-8D24-1EF71B1B8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118211"/>
          <a:ext cx="2581275" cy="781373"/>
        </a:xfrm>
        <a:prstGeom prst="rect">
          <a:avLst/>
        </a:prstGeom>
      </xdr:spPr>
    </xdr:pic>
    <xdr:clientData/>
  </xdr:twoCellAnchor>
  <xdr:twoCellAnchor>
    <xdr:from>
      <xdr:col>2</xdr:col>
      <xdr:colOff>247650</xdr:colOff>
      <xdr:row>77</xdr:row>
      <xdr:rowOff>59056</xdr:rowOff>
    </xdr:from>
    <xdr:to>
      <xdr:col>11</xdr:col>
      <xdr:colOff>793750</xdr:colOff>
      <xdr:row>77</xdr:row>
      <xdr:rowOff>104775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5CB0C305-021E-445D-98C3-3FE33A1D25D7}"/>
            </a:ext>
          </a:extLst>
        </xdr:cNvPr>
        <xdr:cNvSpPr>
          <a:spLocks noChangeArrowheads="1"/>
        </xdr:cNvSpPr>
      </xdr:nvSpPr>
      <xdr:spPr bwMode="auto">
        <a:xfrm flipV="1">
          <a:off x="1752600" y="11838306"/>
          <a:ext cx="6934200" cy="45719"/>
        </a:xfrm>
        <a:prstGeom prst="rect">
          <a:avLst/>
        </a:prstGeom>
        <a:solidFill>
          <a:srgbClr val="2D76B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n-ID"/>
        </a:p>
      </xdr:txBody>
    </xdr:sp>
    <xdr:clientData/>
  </xdr:twoCellAnchor>
  <xdr:twoCellAnchor>
    <xdr:from>
      <xdr:col>5</xdr:col>
      <xdr:colOff>31750</xdr:colOff>
      <xdr:row>77</xdr:row>
      <xdr:rowOff>161773</xdr:rowOff>
    </xdr:from>
    <xdr:to>
      <xdr:col>6</xdr:col>
      <xdr:colOff>165100</xdr:colOff>
      <xdr:row>78</xdr:row>
      <xdr:rowOff>190348</xdr:rowOff>
    </xdr:to>
    <xdr:pic>
      <xdr:nvPicPr>
        <xdr:cNvPr id="4" name="Picture 27">
          <a:extLst>
            <a:ext uri="{FF2B5EF4-FFF2-40B4-BE49-F238E27FC236}">
              <a16:creationId xmlns:a16="http://schemas.microsoft.com/office/drawing/2014/main" xmlns="" id="{BDAA6A16-E240-4889-9AF8-E4CF0611D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7850" y="11941023"/>
          <a:ext cx="234950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31902</xdr:colOff>
      <xdr:row>78</xdr:row>
      <xdr:rowOff>305403</xdr:rowOff>
    </xdr:from>
    <xdr:to>
      <xdr:col>6</xdr:col>
      <xdr:colOff>184302</xdr:colOff>
      <xdr:row>79</xdr:row>
      <xdr:rowOff>207432</xdr:rowOff>
    </xdr:to>
    <xdr:pic>
      <xdr:nvPicPr>
        <xdr:cNvPr id="5" name="image11.png">
          <a:extLst>
            <a:ext uri="{FF2B5EF4-FFF2-40B4-BE49-F238E27FC236}">
              <a16:creationId xmlns:a16="http://schemas.microsoft.com/office/drawing/2014/main" xmlns="" id="{9681C6C4-2714-45E1-9074-F773EC48E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8002" y="12268803"/>
          <a:ext cx="254000" cy="2258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258536</xdr:colOff>
      <xdr:row>78</xdr:row>
      <xdr:rowOff>0</xdr:rowOff>
    </xdr:from>
    <xdr:to>
      <xdr:col>9</xdr:col>
      <xdr:colOff>484596</xdr:colOff>
      <xdr:row>78</xdr:row>
      <xdr:rowOff>226060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264978ED-96C5-4F2E-B5F2-4FF1192D4DDD}"/>
            </a:ext>
          </a:extLst>
        </xdr:cNvPr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3636" y="11963400"/>
          <a:ext cx="226060" cy="22606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285751</xdr:colOff>
      <xdr:row>79</xdr:row>
      <xdr:rowOff>27215</xdr:rowOff>
    </xdr:from>
    <xdr:to>
      <xdr:col>9</xdr:col>
      <xdr:colOff>485776</xdr:colOff>
      <xdr:row>79</xdr:row>
      <xdr:rowOff>208190</xdr:rowOff>
    </xdr:to>
    <xdr:pic>
      <xdr:nvPicPr>
        <xdr:cNvPr id="7" name="image9.png">
          <a:extLst>
            <a:ext uri="{FF2B5EF4-FFF2-40B4-BE49-F238E27FC236}">
              <a16:creationId xmlns:a16="http://schemas.microsoft.com/office/drawing/2014/main" xmlns="" id="{966A8D0E-4376-41CA-8B79-500EBA6433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1" y="12314465"/>
          <a:ext cx="20002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63501</xdr:colOff>
      <xdr:row>0</xdr:row>
      <xdr:rowOff>118211</xdr:rowOff>
    </xdr:from>
    <xdr:to>
      <xdr:col>3</xdr:col>
      <xdr:colOff>267759</xdr:colOff>
      <xdr:row>3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118211"/>
          <a:ext cx="2515658" cy="791956"/>
        </a:xfrm>
        <a:prstGeom prst="rect">
          <a:avLst/>
        </a:prstGeom>
      </xdr:spPr>
    </xdr:pic>
    <xdr:clientData/>
  </xdr:twoCellAnchor>
  <xdr:twoCellAnchor>
    <xdr:from>
      <xdr:col>2</xdr:col>
      <xdr:colOff>936628</xdr:colOff>
      <xdr:row>132</xdr:row>
      <xdr:rowOff>126999</xdr:rowOff>
    </xdr:from>
    <xdr:to>
      <xdr:col>11</xdr:col>
      <xdr:colOff>687103</xdr:colOff>
      <xdr:row>132</xdr:row>
      <xdr:rowOff>126999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xmlns="" id="{08E5F6BB-FC6B-4054-A102-650F3A7350CC}"/>
            </a:ext>
          </a:extLst>
        </xdr:cNvPr>
        <xdr:cNvCxnSpPr/>
      </xdr:nvCxnSpPr>
      <xdr:spPr>
        <a:xfrm>
          <a:off x="1851028" y="44027724"/>
          <a:ext cx="7380000" cy="0"/>
        </a:xfrm>
        <a:prstGeom prst="line">
          <a:avLst/>
        </a:prstGeom>
        <a:ln w="31750" cap="rnd">
          <a:solidFill>
            <a:schemeClr val="tx2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1061509</xdr:colOff>
      <xdr:row>136</xdr:row>
      <xdr:rowOff>88901</xdr:rowOff>
    </xdr:from>
    <xdr:to>
      <xdr:col>5</xdr:col>
      <xdr:colOff>1259509</xdr:colOff>
      <xdr:row>137</xdr:row>
      <xdr:rowOff>79273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EA8AA8C-2BDA-496C-9D08-81EE525BE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809" y="44589701"/>
          <a:ext cx="198000" cy="199923"/>
        </a:xfrm>
        <a:prstGeom prst="rect">
          <a:avLst/>
        </a:prstGeom>
      </xdr:spPr>
    </xdr:pic>
    <xdr:clientData/>
  </xdr:twoCellAnchor>
  <xdr:twoCellAnchor editAs="oneCell">
    <xdr:from>
      <xdr:col>9</xdr:col>
      <xdr:colOff>249485</xdr:colOff>
      <xdr:row>136</xdr:row>
      <xdr:rowOff>82268</xdr:rowOff>
    </xdr:from>
    <xdr:to>
      <xdr:col>9</xdr:col>
      <xdr:colOff>447485</xdr:colOff>
      <xdr:row>137</xdr:row>
      <xdr:rowOff>72640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BCCCBB19-9C01-47EA-B017-BD3DDE88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3760" y="44583068"/>
          <a:ext cx="198000" cy="199923"/>
        </a:xfrm>
        <a:prstGeom prst="rect">
          <a:avLst/>
        </a:prstGeom>
      </xdr:spPr>
    </xdr:pic>
    <xdr:clientData/>
  </xdr:twoCellAnchor>
  <xdr:twoCellAnchor editAs="oneCell">
    <xdr:from>
      <xdr:col>5</xdr:col>
      <xdr:colOff>1055651</xdr:colOff>
      <xdr:row>134</xdr:row>
      <xdr:rowOff>173001</xdr:rowOff>
    </xdr:from>
    <xdr:to>
      <xdr:col>5</xdr:col>
      <xdr:colOff>1253651</xdr:colOff>
      <xdr:row>135</xdr:row>
      <xdr:rowOff>165401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6CD2F37F-14AD-40D2-9A71-5AE801D20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2951" y="44311851"/>
          <a:ext cx="198000" cy="201950"/>
        </a:xfrm>
        <a:prstGeom prst="rect">
          <a:avLst/>
        </a:prstGeom>
      </xdr:spPr>
    </xdr:pic>
    <xdr:clientData/>
  </xdr:twoCellAnchor>
  <xdr:twoCellAnchor editAs="oneCell">
    <xdr:from>
      <xdr:col>9</xdr:col>
      <xdr:colOff>245742</xdr:colOff>
      <xdr:row>134</xdr:row>
      <xdr:rowOff>175893</xdr:rowOff>
    </xdr:from>
    <xdr:to>
      <xdr:col>9</xdr:col>
      <xdr:colOff>443742</xdr:colOff>
      <xdr:row>135</xdr:row>
      <xdr:rowOff>168293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CD061621-C19F-47E6-AFF5-6F89AEA25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0017" y="44314743"/>
          <a:ext cx="198000" cy="201950"/>
        </a:xfrm>
        <a:prstGeom prst="rect">
          <a:avLst/>
        </a:prstGeom>
      </xdr:spPr>
    </xdr:pic>
    <xdr:clientData/>
  </xdr:twoCellAnchor>
  <xdr:twoCellAnchor editAs="oneCell">
    <xdr:from>
      <xdr:col>0</xdr:col>
      <xdr:colOff>52151</xdr:colOff>
      <xdr:row>134</xdr:row>
      <xdr:rowOff>196363</xdr:rowOff>
    </xdr:from>
    <xdr:to>
      <xdr:col>1</xdr:col>
      <xdr:colOff>505557</xdr:colOff>
      <xdr:row>138</xdr:row>
      <xdr:rowOff>29307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A0FE2B25-0CA6-8363-59F8-916DC29B8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51" y="26602594"/>
          <a:ext cx="680541" cy="68286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127</xdr:row>
      <xdr:rowOff>57981</xdr:rowOff>
    </xdr:from>
    <xdr:to>
      <xdr:col>2</xdr:col>
      <xdr:colOff>626301</xdr:colOff>
      <xdr:row>128</xdr:row>
      <xdr:rowOff>125111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A19D03C6-0FDA-1080-13EC-5F3431AFB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-100000"/>
                  </a14:imgEffect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7652" y="25311655"/>
          <a:ext cx="626301" cy="373586"/>
        </a:xfrm>
        <a:prstGeom prst="rect">
          <a:avLst/>
        </a:prstGeom>
      </xdr:spPr>
    </xdr:pic>
    <xdr:clientData/>
  </xdr:twoCellAnchor>
  <xdr:twoCellAnchor editAs="oneCell">
    <xdr:from>
      <xdr:col>4</xdr:col>
      <xdr:colOff>76638</xdr:colOff>
      <xdr:row>126</xdr:row>
      <xdr:rowOff>22491</xdr:rowOff>
    </xdr:from>
    <xdr:to>
      <xdr:col>4</xdr:col>
      <xdr:colOff>1302845</xdr:colOff>
      <xdr:row>129</xdr:row>
      <xdr:rowOff>203170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6293" y="22159905"/>
          <a:ext cx="1226207" cy="8923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188037</xdr:colOff>
      <xdr:row>1</xdr:row>
      <xdr:rowOff>121763</xdr:rowOff>
    </xdr:from>
    <xdr:to>
      <xdr:col>1</xdr:col>
      <xdr:colOff>896988</xdr:colOff>
      <xdr:row>4</xdr:row>
      <xdr:rowOff>74545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37" y="320546"/>
          <a:ext cx="1007125" cy="872151"/>
        </a:xfrm>
        <a:prstGeom prst="rect">
          <a:avLst/>
        </a:prstGeom>
      </xdr:spPr>
    </xdr:pic>
    <xdr:clientData/>
  </xdr:twoCellAnchor>
  <xdr:twoCellAnchor>
    <xdr:from>
      <xdr:col>2</xdr:col>
      <xdr:colOff>155850</xdr:colOff>
      <xdr:row>0</xdr:row>
      <xdr:rowOff>19050</xdr:rowOff>
    </xdr:from>
    <xdr:to>
      <xdr:col>15</xdr:col>
      <xdr:colOff>44968</xdr:colOff>
      <xdr:row>8</xdr:row>
      <xdr:rowOff>96910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xmlns="" id="{1CC5D45C-4D2C-AC3B-4E57-BBB4ACE9FE7A}"/>
            </a:ext>
          </a:extLst>
        </xdr:cNvPr>
        <xdr:cNvGrpSpPr/>
      </xdr:nvGrpSpPr>
      <xdr:grpSpPr>
        <a:xfrm>
          <a:off x="1479825" y="19050"/>
          <a:ext cx="10804768" cy="2163835"/>
          <a:chOff x="1358016" y="0"/>
          <a:chExt cx="11376217" cy="216383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xmlns="" id="{1355EE31-D29E-D22A-19F4-4A4E4B2B5AAC}"/>
              </a:ext>
            </a:extLst>
          </xdr:cNvPr>
          <xdr:cNvSpPr/>
        </xdr:nvSpPr>
        <xdr:spPr>
          <a:xfrm>
            <a:off x="1358016" y="0"/>
            <a:ext cx="6067840" cy="13172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ID" sz="1400" b="1">
                <a:solidFill>
                  <a:sysClr val="windowText" lastClr="000000"/>
                </a:solidFill>
              </a:rPr>
              <a:t>    LABORATORIUM PENGUJI PT MEDIALAB INDONESIA</a:t>
            </a:r>
          </a:p>
          <a:p>
            <a:pPr algn="ctr"/>
            <a:endParaRPr lang="en-ID" sz="700" b="1">
              <a:solidFill>
                <a:sysClr val="windowText" lastClr="000000"/>
              </a:solidFill>
            </a:endParaRPr>
          </a:p>
          <a:p>
            <a:pPr algn="l"/>
            <a:r>
              <a:rPr lang="en-ID" sz="1100">
                <a:solidFill>
                  <a:sysClr val="windowText" lastClr="000000"/>
                </a:solidFill>
              </a:rPr>
              <a:t>                                 Kantor Pusat         : Jl. Jatiwangi No. 44 Kamurang Kel. Cikedokan</a:t>
            </a:r>
          </a:p>
          <a:p>
            <a:pPr algn="l"/>
            <a:r>
              <a:rPr lang="en-ID" sz="1100">
                <a:solidFill>
                  <a:sysClr val="windowText" lastClr="000000"/>
                </a:solidFill>
              </a:rPr>
              <a:t>                                                                   Kec. Cikarang Barat. Kab. Bekasi 17530 Jawa Barat</a:t>
            </a:r>
            <a:r>
              <a:rPr lang="en-ID" sz="1100" b="0" i="0" u="none" strike="noStrike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                  	</a:t>
            </a:r>
            <a:r>
              <a:rPr lang="en-ID" sz="1100" b="0" i="0" u="none" strike="noStrike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   </a:t>
            </a:r>
            <a:r>
              <a:rPr lang="en-ID" sz="1100" b="0" i="0" u="none" strike="noStrike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Email                      :</a:t>
            </a:r>
            <a:r>
              <a:rPr lang="en-ID" sz="1100" b="0" i="0" u="none" strike="noStrike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ID" sz="1100" b="0" i="0" u="none" strike="noStrike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info@medialab.co.id | Website: www.medialab.co.id</a:t>
            </a:r>
          </a:p>
          <a:p>
            <a:pPr algn="l"/>
            <a:r>
              <a:rPr lang="en-ID" sz="1100" b="0" i="0" u="none" strike="noStrike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                                Telepon/</a:t>
            </a:r>
            <a:r>
              <a:rPr lang="en-ID" sz="1100" b="0" i="1" u="none" strike="noStrike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WA</a:t>
            </a:r>
            <a:r>
              <a:rPr lang="en-ID" sz="1100" b="0" i="1" u="none" strike="noStrike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        </a:t>
            </a:r>
            <a:r>
              <a:rPr lang="en-ID" sz="1100" b="0" i="0" u="none" strike="noStrike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ID">
                <a:solidFill>
                  <a:sysClr val="windowText" lastClr="000000"/>
                </a:solidFill>
                <a:effectLst/>
              </a:rPr>
              <a:t>(+6221) 28517576 / 0851 7205 5928</a:t>
            </a:r>
            <a:endParaRPr lang="en-ID" sz="1100">
              <a:solidFill>
                <a:sysClr val="windowText" lastClr="000000"/>
              </a:solidFill>
            </a:endParaRPr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xmlns="" id="{3BC6F2B7-BFF3-C8E2-536B-4FD764FA8F3C}"/>
              </a:ext>
            </a:extLst>
          </xdr:cNvPr>
          <xdr:cNvGrpSpPr/>
        </xdr:nvGrpSpPr>
        <xdr:grpSpPr>
          <a:xfrm>
            <a:off x="1454558" y="1103932"/>
            <a:ext cx="11279675" cy="1059903"/>
            <a:chOff x="5822946" y="1133312"/>
            <a:chExt cx="14218918" cy="1186061"/>
          </a:xfrm>
        </xdr:grpSpPr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xmlns="" id="{BA826C57-43FE-4378-B1CB-150783D727E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203246" y="1550086"/>
              <a:ext cx="838618" cy="769287"/>
            </a:xfrm>
            <a:prstGeom prst="rect">
              <a:avLst/>
            </a:prstGeom>
          </xdr:spPr>
        </xdr:pic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xmlns="" id="{2D3680FA-BE7E-913E-04BE-5FD25B99F70D}"/>
                </a:ext>
              </a:extLst>
            </xdr:cNvPr>
            <xdr:cNvSpPr/>
          </xdr:nvSpPr>
          <xdr:spPr>
            <a:xfrm>
              <a:off x="5822946" y="1133312"/>
              <a:ext cx="1479255" cy="28160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ID" sz="900">
                  <a:solidFill>
                    <a:sysClr val="windowText" lastClr="000000"/>
                  </a:solidFill>
                </a:rPr>
                <a:t>Kantor Perwakilan</a:t>
              </a:r>
            </a:p>
          </xdr:txBody>
        </xdr:sp>
      </xdr:grpSp>
    </xdr:grpSp>
    <xdr:clientData/>
  </xdr:twoCellAnchor>
  <xdr:twoCellAnchor editAs="oneCell">
    <xdr:from>
      <xdr:col>2</xdr:col>
      <xdr:colOff>390525</xdr:colOff>
      <xdr:row>1</xdr:row>
      <xdr:rowOff>228600</xdr:rowOff>
    </xdr:from>
    <xdr:to>
      <xdr:col>2</xdr:col>
      <xdr:colOff>1122108</xdr:colOff>
      <xdr:row>4</xdr:row>
      <xdr:rowOff>36258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428625"/>
          <a:ext cx="731583" cy="7315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933450</xdr:colOff>
      <xdr:row>1</xdr:row>
      <xdr:rowOff>28575</xdr:rowOff>
    </xdr:from>
    <xdr:to>
      <xdr:col>7</xdr:col>
      <xdr:colOff>17105</xdr:colOff>
      <xdr:row>3</xdr:row>
      <xdr:rowOff>76201</xdr:rowOff>
    </xdr:to>
    <xdr:pic>
      <xdr:nvPicPr>
        <xdr:cNvPr id="2" name="Picture 1" descr="Text&#10;&#10;Description automatically generated with medium confidence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266700"/>
          <a:ext cx="2190750" cy="6762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95250</xdr:rowOff>
    </xdr:from>
    <xdr:to>
      <xdr:col>4</xdr:col>
      <xdr:colOff>285750</xdr:colOff>
      <xdr:row>4</xdr:row>
      <xdr:rowOff>92420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0"/>
          <a:ext cx="2514600" cy="7591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Tambahan/COC%20BV%20baru/Ke%20marketing/MI-FR-MKT-8.2-01.01%20Rev.06%20Penawaran%20Harga%20-%20L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 Customer Information"/>
      <sheetName val="Pre-Order"/>
      <sheetName val="2 Quotation"/>
      <sheetName val="3 LTR"/>
      <sheetName val="4 COC"/>
      <sheetName val="5 STPS"/>
      <sheetName val="6 Invoice"/>
      <sheetName val="5 Invoice OLD"/>
      <sheetName val="7 Kwitansi"/>
      <sheetName val="8 Tanda Terima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ia@medialab.co.i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info@medialab.co.id" TargetMode="External"/><Relationship Id="rId1" Type="http://schemas.openxmlformats.org/officeDocument/2006/relationships/hyperlink" Target="http://www.medialab.co.id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edialab.co.id/" TargetMode="External"/><Relationship Id="rId1" Type="http://schemas.openxmlformats.org/officeDocument/2006/relationships/hyperlink" Target="mailto:info@medialab.co.id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showGridLines="0" zoomScaleNormal="100" workbookViewId="0">
      <selection activeCell="D16" sqref="D16"/>
    </sheetView>
  </sheetViews>
  <sheetFormatPr defaultColWidth="9.42578125" defaultRowHeight="15"/>
  <cols>
    <col min="1" max="1" width="23.5703125" style="29" customWidth="1"/>
    <col min="2" max="2" width="60.5703125" style="29" bestFit="1" customWidth="1"/>
    <col min="3" max="5" width="9.42578125" style="29"/>
    <col min="6" max="6" width="11.5703125" style="29" bestFit="1" customWidth="1"/>
    <col min="7" max="7" width="17.5703125" style="29" bestFit="1" customWidth="1"/>
    <col min="8" max="8" width="14.42578125" style="29" bestFit="1" customWidth="1"/>
    <col min="9" max="16384" width="9.42578125" style="29"/>
  </cols>
  <sheetData>
    <row r="1" spans="1:8">
      <c r="A1" s="31" t="s">
        <v>94</v>
      </c>
      <c r="F1" s="31" t="s">
        <v>76</v>
      </c>
      <c r="G1" s="31" t="s">
        <v>75</v>
      </c>
      <c r="H1" s="31" t="s">
        <v>43</v>
      </c>
    </row>
    <row r="2" spans="1:8">
      <c r="A2" s="99" t="s">
        <v>117</v>
      </c>
      <c r="B2" s="138" t="s">
        <v>321</v>
      </c>
      <c r="C2" s="31"/>
      <c r="D2" s="31"/>
      <c r="E2" s="31"/>
      <c r="F2" s="29" t="s">
        <v>77</v>
      </c>
      <c r="G2" s="29" t="s">
        <v>78</v>
      </c>
      <c r="H2" s="29" t="s">
        <v>79</v>
      </c>
    </row>
    <row r="3" spans="1:8">
      <c r="A3" s="99" t="s">
        <v>130</v>
      </c>
      <c r="B3" s="139" t="s">
        <v>324</v>
      </c>
      <c r="F3" s="29" t="s">
        <v>80</v>
      </c>
      <c r="G3" s="29" t="s">
        <v>81</v>
      </c>
      <c r="H3" s="29" t="s">
        <v>82</v>
      </c>
    </row>
    <row r="4" spans="1:8">
      <c r="A4" s="99" t="s">
        <v>131</v>
      </c>
      <c r="B4" s="139" t="s">
        <v>325</v>
      </c>
      <c r="F4" s="29" t="s">
        <v>83</v>
      </c>
      <c r="G4" s="29" t="s">
        <v>84</v>
      </c>
    </row>
    <row r="5" spans="1:8">
      <c r="A5" s="99" t="s">
        <v>141</v>
      </c>
      <c r="B5" s="139" t="s">
        <v>322</v>
      </c>
      <c r="G5" s="29" t="s">
        <v>85</v>
      </c>
    </row>
    <row r="6" spans="1:8">
      <c r="A6" s="99" t="s">
        <v>7</v>
      </c>
      <c r="B6" s="140" t="s">
        <v>323</v>
      </c>
      <c r="G6" s="29" t="s">
        <v>86</v>
      </c>
    </row>
    <row r="7" spans="1:8">
      <c r="A7" s="99" t="s">
        <v>132</v>
      </c>
      <c r="B7" s="141" t="s">
        <v>326</v>
      </c>
    </row>
    <row r="9" spans="1:8">
      <c r="A9" s="31" t="s">
        <v>95</v>
      </c>
    </row>
    <row r="10" spans="1:8">
      <c r="A10" s="100" t="s">
        <v>117</v>
      </c>
      <c r="B10" s="101" t="str">
        <f t="shared" ref="B10:B15" si="0">B2</f>
        <v>PT CONTOH</v>
      </c>
      <c r="C10" s="31"/>
      <c r="D10" s="31"/>
      <c r="E10" s="31"/>
    </row>
    <row r="11" spans="1:8">
      <c r="A11" s="100" t="s">
        <v>130</v>
      </c>
      <c r="B11" s="102" t="str">
        <f t="shared" si="0"/>
        <v>Jl. Jatiwangi No 44 kamurang</v>
      </c>
    </row>
    <row r="12" spans="1:8">
      <c r="A12" s="100" t="s">
        <v>131</v>
      </c>
      <c r="B12" s="102" t="str">
        <f t="shared" si="0"/>
        <v>Kec. Cikarang Barat, Kab. Bekasi</v>
      </c>
    </row>
    <row r="13" spans="1:8">
      <c r="A13" s="100" t="s">
        <v>141</v>
      </c>
      <c r="B13" s="102" t="str">
        <f t="shared" si="0"/>
        <v>Ibu Lia</v>
      </c>
    </row>
    <row r="14" spans="1:8">
      <c r="A14" s="100" t="s">
        <v>7</v>
      </c>
      <c r="B14" s="102" t="str">
        <f t="shared" si="0"/>
        <v>lia@medialab.co.id</v>
      </c>
    </row>
    <row r="15" spans="1:8">
      <c r="A15" s="100" t="s">
        <v>132</v>
      </c>
      <c r="B15" s="102" t="str">
        <f t="shared" si="0"/>
        <v>082310833657</v>
      </c>
    </row>
    <row r="17" spans="1:5">
      <c r="A17" s="31" t="s">
        <v>107</v>
      </c>
    </row>
    <row r="18" spans="1:5">
      <c r="A18" s="103" t="s">
        <v>117</v>
      </c>
      <c r="B18" s="104" t="str">
        <f>B2</f>
        <v>PT CONTOH</v>
      </c>
      <c r="C18" s="31"/>
      <c r="D18" s="31"/>
      <c r="E18" s="31"/>
    </row>
    <row r="19" spans="1:5" ht="15" customHeight="1">
      <c r="A19" s="103" t="s">
        <v>130</v>
      </c>
      <c r="B19" s="105" t="str">
        <f>B3</f>
        <v>Jl. Jatiwangi No 44 kamurang</v>
      </c>
      <c r="C19" s="106"/>
      <c r="D19" s="106"/>
      <c r="E19" s="106"/>
    </row>
    <row r="20" spans="1:5" ht="15" customHeight="1">
      <c r="A20" s="103" t="s">
        <v>131</v>
      </c>
      <c r="B20" s="105" t="str">
        <f>B4</f>
        <v>Kec. Cikarang Barat, Kab. Bekasi</v>
      </c>
      <c r="C20" s="106"/>
      <c r="D20" s="106"/>
      <c r="E20" s="106"/>
    </row>
    <row r="21" spans="1:5">
      <c r="A21" s="103" t="s">
        <v>141</v>
      </c>
      <c r="B21" s="107" t="str">
        <f>B5</f>
        <v>Ibu Lia</v>
      </c>
    </row>
    <row r="22" spans="1:5">
      <c r="A22" s="103" t="s">
        <v>132</v>
      </c>
      <c r="B22" s="108" t="str">
        <f>B7</f>
        <v>082310833657</v>
      </c>
    </row>
    <row r="24" spans="1:5">
      <c r="A24" s="34" t="s">
        <v>108</v>
      </c>
    </row>
    <row r="25" spans="1:5">
      <c r="A25" s="109" t="s">
        <v>117</v>
      </c>
      <c r="B25" s="110" t="str">
        <f>B2</f>
        <v>PT CONTOH</v>
      </c>
      <c r="C25" s="31"/>
      <c r="D25" s="31"/>
      <c r="E25" s="31"/>
    </row>
    <row r="26" spans="1:5" ht="15" customHeight="1">
      <c r="A26" s="109" t="s">
        <v>130</v>
      </c>
      <c r="B26" s="111" t="str">
        <f>B3</f>
        <v>Jl. Jatiwangi No 44 kamurang</v>
      </c>
      <c r="C26" s="106"/>
      <c r="D26" s="106"/>
      <c r="E26" s="106"/>
    </row>
    <row r="27" spans="1:5" ht="15" customHeight="1">
      <c r="A27" s="109" t="s">
        <v>131</v>
      </c>
      <c r="B27" s="111" t="str">
        <f>B4</f>
        <v>Kec. Cikarang Barat, Kab. Bekasi</v>
      </c>
      <c r="C27" s="106"/>
      <c r="D27" s="106"/>
      <c r="E27" s="106"/>
    </row>
    <row r="28" spans="1:5">
      <c r="A28" s="109" t="s">
        <v>141</v>
      </c>
      <c r="B28" s="112" t="str">
        <f>B5</f>
        <v>Ibu Lia</v>
      </c>
    </row>
    <row r="29" spans="1:5">
      <c r="A29" s="109" t="s">
        <v>132</v>
      </c>
      <c r="B29" s="112" t="str">
        <f>B7</f>
        <v>082310833657</v>
      </c>
    </row>
    <row r="31" spans="1:5">
      <c r="A31" s="113" t="s">
        <v>133</v>
      </c>
    </row>
    <row r="32" spans="1:5">
      <c r="A32" s="114" t="s">
        <v>71</v>
      </c>
      <c r="B32" s="115" t="str">
        <f>B6</f>
        <v>lia@medialab.co.id</v>
      </c>
    </row>
    <row r="33" spans="1:2">
      <c r="A33" s="114" t="s">
        <v>72</v>
      </c>
      <c r="B33" s="115"/>
    </row>
    <row r="34" spans="1:2">
      <c r="A34" s="114" t="s">
        <v>73</v>
      </c>
      <c r="B34" s="115"/>
    </row>
    <row r="35" spans="1:2">
      <c r="A35" s="114" t="s">
        <v>74</v>
      </c>
      <c r="B35" s="115"/>
    </row>
  </sheetData>
  <hyperlinks>
    <hyperlink ref="B6" r:id="rId1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81"/>
  <sheetViews>
    <sheetView showGridLines="0" topLeftCell="A7" zoomScaleNormal="100" zoomScaleSheetLayoutView="100" workbookViewId="0">
      <selection activeCell="K8" sqref="K8"/>
    </sheetView>
  </sheetViews>
  <sheetFormatPr defaultColWidth="9.42578125" defaultRowHeight="15"/>
  <cols>
    <col min="1" max="1" width="3.42578125" style="29" customWidth="1"/>
    <col min="2" max="2" width="18.42578125" style="29" customWidth="1"/>
    <col min="3" max="3" width="18.5703125" style="29" customWidth="1"/>
    <col min="4" max="4" width="1.42578125" style="162" customWidth="1"/>
    <col min="5" max="5" width="20.5703125" style="29" customWidth="1"/>
    <col min="6" max="6" width="1.42578125" style="29" customWidth="1"/>
    <col min="7" max="7" width="18.5703125" style="29" customWidth="1"/>
    <col min="8" max="8" width="1.42578125" style="162" customWidth="1"/>
    <col min="9" max="9" width="9.42578125" style="30" customWidth="1"/>
    <col min="10" max="10" width="7.5703125" style="30" customWidth="1"/>
    <col min="11" max="12" width="12.42578125" style="29" customWidth="1"/>
    <col min="13" max="14" width="9.42578125" style="29"/>
    <col min="15" max="15" width="37.42578125" style="29" bestFit="1" customWidth="1"/>
    <col min="16" max="16" width="9.42578125" style="29"/>
    <col min="17" max="17" width="33" style="29" bestFit="1" customWidth="1"/>
    <col min="18" max="18" width="9.42578125" style="29"/>
    <col min="19" max="19" width="21.5703125" style="29" bestFit="1" customWidth="1"/>
    <col min="20" max="16384" width="9.42578125" style="29"/>
  </cols>
  <sheetData>
    <row r="1" spans="1:21">
      <c r="J1" s="29"/>
      <c r="N1" s="29">
        <v>1</v>
      </c>
      <c r="O1" s="29" t="s">
        <v>24</v>
      </c>
      <c r="Q1" s="29" t="s">
        <v>50</v>
      </c>
      <c r="S1" s="29" t="s">
        <v>55</v>
      </c>
      <c r="U1" s="29" t="s">
        <v>65</v>
      </c>
    </row>
    <row r="2" spans="1:21" ht="15" customHeight="1">
      <c r="A2" s="31"/>
      <c r="B2" s="31"/>
      <c r="C2" s="31"/>
      <c r="D2" s="163"/>
      <c r="E2" s="31"/>
      <c r="F2" s="31"/>
      <c r="G2" s="31"/>
      <c r="H2" s="163"/>
      <c r="J2" s="29"/>
      <c r="N2" s="29">
        <v>2</v>
      </c>
      <c r="O2" s="29" t="s">
        <v>25</v>
      </c>
      <c r="Q2" s="29" t="s">
        <v>51</v>
      </c>
      <c r="S2" s="29" t="s">
        <v>56</v>
      </c>
      <c r="U2" s="29" t="s">
        <v>66</v>
      </c>
    </row>
    <row r="3" spans="1:21" ht="25.5" customHeight="1">
      <c r="I3" s="32"/>
      <c r="J3" s="32"/>
      <c r="K3" s="32"/>
      <c r="L3" s="32"/>
      <c r="N3" s="29">
        <v>3</v>
      </c>
      <c r="O3" s="29" t="s">
        <v>26</v>
      </c>
      <c r="Q3" s="29" t="s">
        <v>52</v>
      </c>
      <c r="S3" s="29" t="s">
        <v>57</v>
      </c>
      <c r="U3" s="29" t="s">
        <v>67</v>
      </c>
    </row>
    <row r="4" spans="1:21" ht="15" customHeight="1">
      <c r="I4" s="32"/>
      <c r="J4" s="32"/>
      <c r="K4" s="32"/>
      <c r="L4" s="32"/>
      <c r="N4" s="29">
        <v>4</v>
      </c>
      <c r="O4" s="29" t="s">
        <v>6</v>
      </c>
      <c r="Q4" s="29" t="s">
        <v>53</v>
      </c>
      <c r="S4" s="29" t="s">
        <v>58</v>
      </c>
      <c r="U4" s="29" t="s">
        <v>68</v>
      </c>
    </row>
    <row r="5" spans="1:21" ht="11.25" customHeight="1">
      <c r="A5" s="97"/>
      <c r="B5" s="97"/>
      <c r="C5" s="97"/>
      <c r="D5" s="164"/>
      <c r="E5" s="97"/>
      <c r="F5" s="97"/>
      <c r="G5" s="97"/>
      <c r="H5" s="164"/>
      <c r="I5" s="98"/>
      <c r="J5" s="97"/>
      <c r="K5" s="97"/>
      <c r="L5" s="97"/>
      <c r="N5" s="29">
        <v>5</v>
      </c>
      <c r="O5" s="29" t="s">
        <v>27</v>
      </c>
      <c r="Q5" s="29" t="s">
        <v>54</v>
      </c>
      <c r="S5" s="29" t="s">
        <v>59</v>
      </c>
      <c r="U5" s="29" t="s">
        <v>69</v>
      </c>
    </row>
    <row r="6" spans="1:21" ht="6.75" customHeight="1">
      <c r="J6" s="29"/>
    </row>
    <row r="7" spans="1:21" ht="22.5">
      <c r="A7" s="417" t="s">
        <v>90</v>
      </c>
      <c r="B7" s="417"/>
      <c r="C7" s="417"/>
      <c r="D7" s="417"/>
      <c r="E7" s="417"/>
      <c r="F7" s="417"/>
      <c r="G7" s="417"/>
      <c r="H7" s="417"/>
      <c r="I7" s="417"/>
      <c r="J7" s="417"/>
      <c r="K7" s="417"/>
      <c r="L7" s="417"/>
    </row>
    <row r="8" spans="1:21">
      <c r="I8" s="33"/>
      <c r="J8" s="33"/>
      <c r="K8" s="33"/>
      <c r="L8" s="33"/>
      <c r="N8" s="29">
        <v>6</v>
      </c>
      <c r="O8" s="29" t="s">
        <v>28</v>
      </c>
      <c r="S8" s="29" t="s">
        <v>60</v>
      </c>
      <c r="U8" s="29" t="s">
        <v>70</v>
      </c>
    </row>
    <row r="9" spans="1:21" ht="7.5" customHeight="1">
      <c r="I9" s="418" t="s">
        <v>49</v>
      </c>
      <c r="J9" s="419"/>
      <c r="K9" s="419"/>
      <c r="L9" s="420"/>
    </row>
    <row r="10" spans="1:21" ht="15.75" customHeight="1">
      <c r="A10" s="34" t="s">
        <v>94</v>
      </c>
      <c r="B10" s="35"/>
      <c r="E10" s="36" t="s">
        <v>95</v>
      </c>
      <c r="F10" s="36"/>
      <c r="G10" s="35"/>
      <c r="H10" s="188"/>
      <c r="I10" s="421"/>
      <c r="J10" s="422"/>
      <c r="K10" s="422"/>
      <c r="L10" s="423"/>
      <c r="N10" s="29">
        <v>7</v>
      </c>
      <c r="O10" s="29" t="s">
        <v>29</v>
      </c>
      <c r="S10" s="29" t="s">
        <v>61</v>
      </c>
    </row>
    <row r="11" spans="1:21" ht="15.75" customHeight="1">
      <c r="A11" s="427">
        <f>'[1]1 Customer Information'!$B$2</f>
        <v>0</v>
      </c>
      <c r="B11" s="427"/>
      <c r="C11" s="427"/>
      <c r="D11" s="165"/>
      <c r="E11" s="427">
        <f>'[1]1 Customer Information'!$B$10</f>
        <v>0</v>
      </c>
      <c r="F11" s="427"/>
      <c r="G11" s="427"/>
      <c r="H11" s="165"/>
      <c r="I11" s="424"/>
      <c r="J11" s="425"/>
      <c r="K11" s="425"/>
      <c r="L11" s="426"/>
      <c r="S11" s="29" t="s">
        <v>62</v>
      </c>
    </row>
    <row r="12" spans="1:21">
      <c r="A12" s="428">
        <f>'[1]1 Customer Information'!$B$3</f>
        <v>0</v>
      </c>
      <c r="B12" s="428"/>
      <c r="C12" s="428"/>
      <c r="D12" s="166"/>
      <c r="E12" s="428">
        <f>'[1]1 Customer Information'!$B$11</f>
        <v>0</v>
      </c>
      <c r="F12" s="428"/>
      <c r="G12" s="428"/>
      <c r="H12" s="166"/>
      <c r="J12" s="29"/>
      <c r="S12" s="29" t="s">
        <v>63</v>
      </c>
    </row>
    <row r="13" spans="1:21" ht="15.75" thickBot="1">
      <c r="A13" s="431">
        <f>+'[1]1 Customer Information'!B4</f>
        <v>0</v>
      </c>
      <c r="B13" s="431"/>
      <c r="C13" s="431"/>
      <c r="D13" s="166"/>
      <c r="E13" s="431">
        <f>+'[1]1 Customer Information'!B12</f>
        <v>0</v>
      </c>
      <c r="F13" s="431"/>
      <c r="G13" s="431"/>
      <c r="H13" s="166"/>
      <c r="I13" s="37" t="s">
        <v>140</v>
      </c>
      <c r="K13" s="432"/>
      <c r="L13" s="432"/>
      <c r="S13" s="29" t="s">
        <v>64</v>
      </c>
    </row>
    <row r="14" spans="1:21" ht="15.75" thickBot="1">
      <c r="A14" s="38" t="str">
        <f>"CP. "&amp;'[1]1 Customer Information'!$B$5</f>
        <v xml:space="preserve">CP. </v>
      </c>
      <c r="B14" s="39"/>
      <c r="C14" s="40" t="str">
        <f>"Ph. "&amp;'[1]1 Customer Information'!$B$7</f>
        <v xml:space="preserve">Ph. </v>
      </c>
      <c r="D14" s="167"/>
      <c r="E14" s="41" t="str">
        <f>"CP. "&amp;'[1]1 Customer Information'!$B$13</f>
        <v xml:space="preserve">CP. </v>
      </c>
      <c r="F14" s="41"/>
      <c r="G14" s="40" t="str">
        <f>"Ph. "&amp;'[1]1 Customer Information'!$B$15</f>
        <v xml:space="preserve">Ph. </v>
      </c>
      <c r="H14" s="167"/>
      <c r="I14" s="42" t="s">
        <v>37</v>
      </c>
      <c r="K14" s="433"/>
      <c r="L14" s="433"/>
    </row>
    <row r="15" spans="1:21">
      <c r="A15" s="434" t="str">
        <f>"Email. "&amp;'[1]1 Customer Information'!$B$6</f>
        <v xml:space="preserve">Email. </v>
      </c>
      <c r="B15" s="434"/>
      <c r="C15" s="434"/>
      <c r="D15" s="168"/>
      <c r="E15" s="435" t="str">
        <f>"Email. "&amp;'[1]1 Customer Information'!$B$14</f>
        <v xml:space="preserve">Email. </v>
      </c>
      <c r="F15" s="435"/>
      <c r="G15" s="435"/>
      <c r="H15" s="168"/>
      <c r="I15" s="37" t="s">
        <v>96</v>
      </c>
      <c r="K15" s="433">
        <f>K14+7</f>
        <v>7</v>
      </c>
      <c r="L15" s="433"/>
    </row>
    <row r="16" spans="1:21">
      <c r="A16" s="43"/>
      <c r="B16" s="43"/>
      <c r="E16" s="43"/>
      <c r="F16" s="43"/>
      <c r="G16" s="43"/>
      <c r="H16" s="168"/>
      <c r="J16" s="29"/>
    </row>
    <row r="17" spans="1:12">
      <c r="A17" s="29" t="s">
        <v>91</v>
      </c>
      <c r="C17" s="43"/>
      <c r="D17" s="168"/>
    </row>
    <row r="18" spans="1:12">
      <c r="A18" s="436" t="s">
        <v>92</v>
      </c>
      <c r="B18" s="436"/>
      <c r="C18" s="436"/>
      <c r="D18" s="436"/>
      <c r="E18" s="436"/>
      <c r="F18" s="436"/>
      <c r="G18" s="436"/>
      <c r="H18" s="436"/>
      <c r="I18" s="436"/>
      <c r="J18" s="436"/>
      <c r="K18" s="436"/>
      <c r="L18" s="436"/>
    </row>
    <row r="19" spans="1:12" ht="7.5" customHeight="1" thickBot="1">
      <c r="C19" s="43"/>
      <c r="D19" s="168"/>
    </row>
    <row r="20" spans="1:12" ht="15.75" hidden="1" customHeight="1" thickBot="1">
      <c r="C20" s="43"/>
      <c r="D20" s="168"/>
      <c r="J20" s="44"/>
      <c r="K20" s="45"/>
    </row>
    <row r="21" spans="1:12" ht="15.75" hidden="1" customHeight="1" thickBot="1">
      <c r="B21" s="43" t="s">
        <v>8</v>
      </c>
      <c r="C21" s="43"/>
      <c r="D21" s="168"/>
      <c r="G21" s="45" t="s">
        <v>9</v>
      </c>
      <c r="H21" s="170"/>
      <c r="I21" s="44"/>
      <c r="J21" s="44"/>
      <c r="K21" s="45"/>
    </row>
    <row r="22" spans="1:12" ht="15.75" hidden="1" customHeight="1" thickBot="1">
      <c r="B22" s="43" t="s">
        <v>0</v>
      </c>
      <c r="C22" s="43"/>
      <c r="D22" s="168"/>
      <c r="G22" s="45" t="s">
        <v>10</v>
      </c>
      <c r="H22" s="170"/>
      <c r="I22" s="44"/>
      <c r="J22" s="44"/>
      <c r="K22" s="45"/>
    </row>
    <row r="23" spans="1:12" ht="15.75" hidden="1" customHeight="1" thickBot="1">
      <c r="B23" s="43" t="s">
        <v>11</v>
      </c>
      <c r="C23" s="437"/>
      <c r="D23" s="169"/>
      <c r="G23" s="45"/>
      <c r="H23" s="170"/>
      <c r="I23" s="44"/>
      <c r="J23" s="44"/>
      <c r="K23" s="45"/>
    </row>
    <row r="24" spans="1:12" ht="15.75" hidden="1" customHeight="1" thickBot="1">
      <c r="B24" s="43"/>
      <c r="C24" s="437"/>
      <c r="D24" s="169"/>
      <c r="G24" s="45" t="s">
        <v>12</v>
      </c>
      <c r="H24" s="170"/>
      <c r="I24" s="44"/>
      <c r="J24" s="44"/>
      <c r="K24" s="45"/>
    </row>
    <row r="25" spans="1:12" ht="15.75" hidden="1" customHeight="1" thickBot="1">
      <c r="B25" s="43" t="s">
        <v>13</v>
      </c>
      <c r="C25" s="43"/>
      <c r="D25" s="168"/>
      <c r="G25" s="45" t="s">
        <v>14</v>
      </c>
      <c r="H25" s="170"/>
      <c r="I25" s="44"/>
      <c r="J25" s="44"/>
      <c r="K25" s="45"/>
    </row>
    <row r="26" spans="1:12" ht="15.75" hidden="1" customHeight="1" thickBot="1">
      <c r="B26" s="43" t="s">
        <v>15</v>
      </c>
      <c r="C26" s="43"/>
      <c r="D26" s="168"/>
      <c r="G26" s="45" t="s">
        <v>16</v>
      </c>
      <c r="H26" s="170"/>
      <c r="I26" s="44"/>
      <c r="J26" s="44"/>
      <c r="K26" s="45"/>
    </row>
    <row r="27" spans="1:12" ht="15.75" hidden="1" customHeight="1" thickBot="1">
      <c r="B27" s="43" t="s">
        <v>17</v>
      </c>
      <c r="C27" s="43"/>
      <c r="D27" s="168"/>
      <c r="G27" s="45" t="s">
        <v>10</v>
      </c>
      <c r="H27" s="170"/>
      <c r="I27" s="44"/>
      <c r="J27" s="44"/>
      <c r="K27" s="45"/>
    </row>
    <row r="28" spans="1:12" ht="15.75" hidden="1" customHeight="1" thickBot="1">
      <c r="B28" s="43" t="s">
        <v>18</v>
      </c>
      <c r="C28" s="438"/>
      <c r="D28" s="170"/>
      <c r="G28" s="45"/>
      <c r="H28" s="170"/>
      <c r="I28" s="44"/>
      <c r="J28" s="44"/>
      <c r="K28" s="45"/>
    </row>
    <row r="29" spans="1:12" ht="15.75" hidden="1" customHeight="1" thickBot="1">
      <c r="B29" s="43"/>
      <c r="C29" s="438"/>
      <c r="D29" s="170"/>
      <c r="G29" s="45">
        <v>81313151613</v>
      </c>
      <c r="H29" s="170"/>
      <c r="I29" s="44"/>
      <c r="J29" s="44"/>
      <c r="K29" s="45"/>
    </row>
    <row r="30" spans="1:12" ht="15.75" hidden="1" customHeight="1" thickBot="1">
      <c r="B30" s="43" t="s">
        <v>19</v>
      </c>
      <c r="C30" s="43"/>
      <c r="D30" s="168"/>
      <c r="G30" s="45"/>
      <c r="H30" s="170"/>
      <c r="I30" s="44"/>
    </row>
    <row r="31" spans="1:12" ht="15.75" hidden="1" customHeight="1" thickBot="1">
      <c r="B31" s="43" t="s">
        <v>20</v>
      </c>
      <c r="C31" s="43"/>
      <c r="D31" s="168"/>
    </row>
    <row r="32" spans="1:12" ht="15.75" hidden="1" customHeight="1" thickBot="1">
      <c r="B32" s="43"/>
      <c r="C32" s="43"/>
      <c r="D32" s="168"/>
      <c r="J32" s="46"/>
      <c r="K32" s="47"/>
      <c r="L32" s="47"/>
    </row>
    <row r="33" spans="1:12" ht="29.25" hidden="1" customHeight="1" thickBot="1">
      <c r="A33" s="47" t="s">
        <v>21</v>
      </c>
      <c r="B33" s="47"/>
      <c r="C33" s="47"/>
      <c r="D33" s="171"/>
      <c r="E33" s="47"/>
      <c r="F33" s="47"/>
      <c r="G33" s="47"/>
      <c r="H33" s="171"/>
      <c r="I33" s="46"/>
      <c r="J33" s="48"/>
      <c r="K33" s="49"/>
      <c r="L33" s="49"/>
    </row>
    <row r="34" spans="1:12" ht="26.25" thickBot="1">
      <c r="A34" s="50" t="s">
        <v>2</v>
      </c>
      <c r="B34" s="51" t="s">
        <v>97</v>
      </c>
      <c r="C34" s="51" t="s">
        <v>98</v>
      </c>
      <c r="D34" s="172"/>
      <c r="E34" s="439" t="s">
        <v>99</v>
      </c>
      <c r="F34" s="439"/>
      <c r="G34" s="51" t="s">
        <v>100</v>
      </c>
      <c r="H34" s="172"/>
      <c r="I34" s="52" t="s">
        <v>101</v>
      </c>
      <c r="J34" s="52" t="s">
        <v>143</v>
      </c>
      <c r="K34" s="51" t="s">
        <v>102</v>
      </c>
      <c r="L34" s="51" t="s">
        <v>22</v>
      </c>
    </row>
    <row r="35" spans="1:12" ht="18" customHeight="1">
      <c r="A35" s="150" t="s">
        <v>103</v>
      </c>
      <c r="B35" s="150"/>
      <c r="C35" s="151"/>
      <c r="D35" s="173"/>
      <c r="E35" s="440"/>
      <c r="F35" s="440"/>
      <c r="G35" s="151"/>
      <c r="H35" s="173"/>
      <c r="I35" s="152"/>
      <c r="J35" s="153"/>
      <c r="K35" s="154"/>
      <c r="L35" s="154"/>
    </row>
    <row r="36" spans="1:12" ht="14.25" customHeight="1">
      <c r="A36" s="53"/>
      <c r="B36" s="143"/>
      <c r="C36" s="54"/>
      <c r="I36" s="54"/>
      <c r="J36" s="54"/>
      <c r="K36" s="55"/>
      <c r="L36" s="55"/>
    </row>
    <row r="37" spans="1:12" ht="14.25" customHeight="1">
      <c r="A37" s="53"/>
      <c r="B37" s="143"/>
      <c r="C37" s="54"/>
      <c r="I37" s="54"/>
      <c r="J37" s="54"/>
      <c r="K37" s="55"/>
      <c r="L37" s="55"/>
    </row>
    <row r="38" spans="1:12" ht="14.25" customHeight="1">
      <c r="A38" s="53"/>
      <c r="B38" s="143"/>
      <c r="C38" s="54"/>
      <c r="I38" s="54"/>
      <c r="J38" s="54"/>
      <c r="K38" s="55"/>
      <c r="L38" s="55"/>
    </row>
    <row r="39" spans="1:12" ht="14.25" customHeight="1">
      <c r="A39" s="53"/>
      <c r="B39" s="143"/>
      <c r="C39" s="53"/>
      <c r="E39" s="53"/>
      <c r="I39" s="54"/>
      <c r="J39" s="54"/>
      <c r="K39" s="55"/>
      <c r="L39" s="55"/>
    </row>
    <row r="40" spans="1:12" ht="14.25" customHeight="1">
      <c r="A40" s="53"/>
      <c r="B40" s="143"/>
      <c r="C40" s="142"/>
      <c r="E40" s="53"/>
      <c r="G40" s="53"/>
      <c r="I40" s="54"/>
      <c r="J40" s="54"/>
      <c r="K40" s="55"/>
      <c r="L40" s="55"/>
    </row>
    <row r="41" spans="1:12">
      <c r="A41" s="155"/>
      <c r="B41" s="156"/>
      <c r="C41" s="157"/>
      <c r="D41" s="174"/>
      <c r="E41" s="155"/>
      <c r="F41" s="56"/>
      <c r="G41" s="155"/>
      <c r="H41" s="174"/>
      <c r="I41" s="157"/>
      <c r="J41" s="157"/>
      <c r="K41" s="158"/>
      <c r="L41" s="158"/>
    </row>
    <row r="42" spans="1:12" ht="14.25" customHeight="1">
      <c r="A42" s="159" t="s">
        <v>23</v>
      </c>
      <c r="B42" s="159"/>
      <c r="C42" s="159"/>
      <c r="D42" s="175"/>
      <c r="E42" s="159"/>
      <c r="F42" s="159"/>
      <c r="G42" s="160"/>
      <c r="H42" s="189"/>
      <c r="I42" s="160"/>
      <c r="J42" s="159"/>
      <c r="K42" s="161"/>
      <c r="L42" s="161"/>
    </row>
    <row r="43" spans="1:12" ht="14.25" customHeight="1">
      <c r="A43" s="53">
        <v>1</v>
      </c>
      <c r="B43" s="53" t="s">
        <v>105</v>
      </c>
      <c r="C43" s="53"/>
      <c r="D43" s="176"/>
      <c r="E43" s="53"/>
      <c r="F43" s="53"/>
      <c r="I43" s="29"/>
      <c r="J43" s="54"/>
      <c r="K43" s="55"/>
      <c r="L43" s="55">
        <f>J43*K43</f>
        <v>0</v>
      </c>
    </row>
    <row r="44" spans="1:12" ht="14.25" customHeight="1">
      <c r="A44" s="53">
        <v>2</v>
      </c>
      <c r="B44" s="53" t="s">
        <v>134</v>
      </c>
      <c r="C44" s="53"/>
      <c r="D44" s="176"/>
      <c r="E44" s="53"/>
      <c r="F44" s="53"/>
      <c r="I44" s="29"/>
      <c r="J44" s="54"/>
      <c r="K44" s="55"/>
      <c r="L44" s="55">
        <f>J44*K44</f>
        <v>0</v>
      </c>
    </row>
    <row r="45" spans="1:12" ht="14.25" customHeight="1">
      <c r="A45" s="53">
        <v>3</v>
      </c>
      <c r="B45" s="53" t="s">
        <v>104</v>
      </c>
      <c r="C45" s="53"/>
      <c r="D45" s="176"/>
      <c r="E45" s="53"/>
      <c r="F45" s="53"/>
      <c r="I45" s="29"/>
      <c r="J45" s="54"/>
      <c r="K45" s="55"/>
      <c r="L45" s="55">
        <f>J45*K45</f>
        <v>0</v>
      </c>
    </row>
    <row r="46" spans="1:12" ht="14.25" customHeight="1">
      <c r="A46" s="53"/>
      <c r="B46" s="53"/>
      <c r="C46" s="53"/>
      <c r="D46" s="176"/>
      <c r="E46" s="53"/>
      <c r="F46" s="53"/>
      <c r="I46" s="29"/>
      <c r="J46" s="54"/>
      <c r="K46" s="55"/>
      <c r="L46" s="55"/>
    </row>
    <row r="47" spans="1:12" ht="2.25" customHeight="1" thickBot="1">
      <c r="A47" s="57"/>
      <c r="B47" s="58"/>
      <c r="C47" s="59"/>
      <c r="D47" s="177"/>
      <c r="E47" s="59"/>
      <c r="F47" s="59"/>
      <c r="G47" s="60"/>
      <c r="H47" s="190"/>
      <c r="I47" s="61"/>
      <c r="J47" s="61"/>
      <c r="K47" s="62"/>
      <c r="L47" s="63"/>
    </row>
    <row r="48" spans="1:12" ht="17.25">
      <c r="A48" s="64" t="s">
        <v>106</v>
      </c>
      <c r="E48" s="30"/>
      <c r="F48" s="30"/>
      <c r="G48" s="30"/>
      <c r="H48" s="184"/>
      <c r="J48" s="65"/>
      <c r="K48" s="66" t="s">
        <v>93</v>
      </c>
      <c r="L48" s="67">
        <f>SUM(L36:L46)</f>
        <v>0</v>
      </c>
    </row>
    <row r="49" spans="1:12">
      <c r="B49" s="68" t="s">
        <v>3</v>
      </c>
      <c r="J49" s="69"/>
      <c r="K49" s="70"/>
      <c r="L49" s="71"/>
    </row>
    <row r="50" spans="1:12">
      <c r="B50" s="72" t="s">
        <v>48</v>
      </c>
      <c r="J50" s="69"/>
      <c r="K50" s="73" t="s">
        <v>30</v>
      </c>
      <c r="L50" s="74">
        <f>(L48-L49)*10%</f>
        <v>0</v>
      </c>
    </row>
    <row r="51" spans="1:12" ht="20.25" customHeight="1">
      <c r="A51" s="75"/>
      <c r="B51" s="76" t="s">
        <v>4</v>
      </c>
      <c r="C51" s="77"/>
      <c r="D51" s="178"/>
      <c r="E51" s="75"/>
      <c r="F51" s="75"/>
      <c r="G51" s="75"/>
      <c r="H51" s="191"/>
      <c r="I51" s="78"/>
      <c r="J51" s="79"/>
      <c r="K51" s="80" t="s">
        <v>31</v>
      </c>
      <c r="L51" s="81">
        <f>(L48-L49)+L50</f>
        <v>0</v>
      </c>
    </row>
    <row r="52" spans="1:12">
      <c r="B52" s="82"/>
      <c r="C52" s="82"/>
      <c r="D52" s="179"/>
      <c r="E52" s="82"/>
      <c r="F52" s="82"/>
      <c r="G52" s="31"/>
      <c r="H52" s="163"/>
      <c r="J52" s="29"/>
    </row>
    <row r="53" spans="1:12" s="83" customFormat="1">
      <c r="A53" s="34" t="s">
        <v>107</v>
      </c>
      <c r="D53" s="180"/>
      <c r="E53" s="34" t="s">
        <v>108</v>
      </c>
      <c r="F53" s="34"/>
      <c r="H53" s="180"/>
      <c r="I53" s="84" t="s">
        <v>109</v>
      </c>
    </row>
    <row r="54" spans="1:12">
      <c r="A54" s="429">
        <f>'[1]1 Customer Information'!$B$18</f>
        <v>0</v>
      </c>
      <c r="B54" s="429"/>
      <c r="C54" s="429"/>
      <c r="D54" s="181"/>
      <c r="E54" s="429">
        <f>'[1]1 Customer Information'!$B$25</f>
        <v>0</v>
      </c>
      <c r="F54" s="429"/>
      <c r="G54" s="429"/>
      <c r="H54" s="181"/>
      <c r="I54" s="430" t="str">
        <f>"1) "&amp;'[1]1 Customer Information'!B32</f>
        <v xml:space="preserve">1) </v>
      </c>
      <c r="J54" s="430"/>
      <c r="K54" s="430"/>
      <c r="L54" s="430"/>
    </row>
    <row r="55" spans="1:12" ht="19.5" customHeight="1">
      <c r="A55" s="441">
        <f>'[1]1 Customer Information'!$B$19</f>
        <v>0</v>
      </c>
      <c r="B55" s="441"/>
      <c r="C55" s="441"/>
      <c r="D55" s="182"/>
      <c r="E55" s="441">
        <f>'[1]1 Customer Information'!$B$26</f>
        <v>0</v>
      </c>
      <c r="F55" s="441"/>
      <c r="G55" s="441"/>
      <c r="H55" s="182"/>
      <c r="I55" s="430" t="str">
        <f>"2) "&amp;'[1]1 Customer Information'!B33</f>
        <v xml:space="preserve">2) </v>
      </c>
      <c r="J55" s="430"/>
      <c r="K55" s="430"/>
      <c r="L55" s="430"/>
    </row>
    <row r="56" spans="1:12" ht="19.5" customHeight="1">
      <c r="A56" s="442">
        <f>+'[1]1 Customer Information'!B20</f>
        <v>0</v>
      </c>
      <c r="B56" s="442"/>
      <c r="C56" s="442"/>
      <c r="D56" s="182"/>
      <c r="E56" s="442">
        <f>+'[1]1 Customer Information'!B27</f>
        <v>0</v>
      </c>
      <c r="F56" s="442"/>
      <c r="G56" s="442"/>
      <c r="H56" s="182"/>
      <c r="I56" s="430" t="str">
        <f>"3) "&amp;'[1]1 Customer Information'!B34</f>
        <v xml:space="preserve">3) </v>
      </c>
      <c r="J56" s="430"/>
      <c r="K56" s="430"/>
      <c r="L56" s="430"/>
    </row>
    <row r="57" spans="1:12">
      <c r="A57" s="85" t="str">
        <f>"CP. "&amp;'[1]1 Customer Information'!$B$21</f>
        <v xml:space="preserve">CP. </v>
      </c>
      <c r="B57" s="86"/>
      <c r="C57" s="87" t="str">
        <f>"Ph. "&amp;'[1]1 Customer Information'!$B$22</f>
        <v xml:space="preserve">Ph. </v>
      </c>
      <c r="D57" s="183"/>
      <c r="E57" s="85" t="str">
        <f>"CP. "&amp;'[1]1 Customer Information'!$B$28</f>
        <v xml:space="preserve">CP. </v>
      </c>
      <c r="F57" s="85"/>
      <c r="G57" s="87" t="str">
        <f>"Ph. "&amp;'[1]1 Customer Information'!$B$29</f>
        <v xml:space="preserve">Ph. </v>
      </c>
      <c r="H57" s="183"/>
      <c r="I57" s="430" t="str">
        <f>"4) "&amp;'[1]1 Customer Information'!B35</f>
        <v xml:space="preserve">4) </v>
      </c>
      <c r="J57" s="430"/>
      <c r="K57" s="430"/>
      <c r="L57" s="430"/>
    </row>
    <row r="58" spans="1:12" ht="7.5" customHeight="1">
      <c r="E58" s="88"/>
      <c r="F58" s="88"/>
      <c r="G58" s="89"/>
      <c r="H58" s="192"/>
      <c r="K58" s="445"/>
      <c r="L58" s="446"/>
    </row>
    <row r="59" spans="1:12" ht="13.5" customHeight="1">
      <c r="A59" s="90" t="s">
        <v>135</v>
      </c>
      <c r="J59" s="65"/>
    </row>
    <row r="60" spans="1:12" s="91" customFormat="1" ht="12.75">
      <c r="A60" s="131">
        <v>1</v>
      </c>
      <c r="B60" s="447" t="s">
        <v>110</v>
      </c>
      <c r="C60" s="447"/>
      <c r="D60" s="447"/>
      <c r="E60" s="447"/>
      <c r="F60" s="447"/>
      <c r="G60" s="447"/>
      <c r="H60" s="447"/>
      <c r="I60" s="447"/>
      <c r="J60" s="447"/>
      <c r="K60" s="447"/>
      <c r="L60" s="447"/>
    </row>
    <row r="61" spans="1:12" s="91" customFormat="1" ht="12.75">
      <c r="A61" s="131">
        <v>2</v>
      </c>
      <c r="B61" s="447" t="s">
        <v>32</v>
      </c>
      <c r="C61" s="447"/>
      <c r="D61" s="447"/>
      <c r="E61" s="447"/>
      <c r="F61" s="447"/>
      <c r="G61" s="447"/>
      <c r="H61" s="447"/>
      <c r="I61" s="447"/>
      <c r="J61" s="447"/>
      <c r="K61" s="447"/>
      <c r="L61" s="447"/>
    </row>
    <row r="62" spans="1:12" s="91" customFormat="1" ht="27.75" customHeight="1">
      <c r="A62" s="131">
        <v>3</v>
      </c>
      <c r="B62" s="447" t="s">
        <v>120</v>
      </c>
      <c r="C62" s="447"/>
      <c r="D62" s="447"/>
      <c r="E62" s="447"/>
      <c r="F62" s="447"/>
      <c r="G62" s="447"/>
      <c r="H62" s="447"/>
      <c r="I62" s="447"/>
      <c r="J62" s="447"/>
      <c r="K62" s="447"/>
      <c r="L62" s="447"/>
    </row>
    <row r="63" spans="1:12" s="91" customFormat="1" ht="12.75">
      <c r="A63" s="131">
        <v>4</v>
      </c>
      <c r="B63" s="447" t="s">
        <v>121</v>
      </c>
      <c r="C63" s="447"/>
      <c r="D63" s="447"/>
      <c r="E63" s="447"/>
      <c r="F63" s="447"/>
      <c r="G63" s="447"/>
      <c r="H63" s="447"/>
      <c r="I63" s="447"/>
      <c r="J63" s="447"/>
      <c r="K63" s="447"/>
      <c r="L63" s="447"/>
    </row>
    <row r="64" spans="1:12" s="91" customFormat="1" ht="12.75">
      <c r="A64" s="131">
        <v>5</v>
      </c>
      <c r="B64" s="447" t="s">
        <v>122</v>
      </c>
      <c r="C64" s="447"/>
      <c r="D64" s="447"/>
      <c r="E64" s="447"/>
      <c r="F64" s="447"/>
      <c r="G64" s="447"/>
      <c r="H64" s="447"/>
      <c r="I64" s="447"/>
      <c r="J64" s="447"/>
      <c r="K64" s="447"/>
      <c r="L64" s="447"/>
    </row>
    <row r="65" spans="1:14" s="91" customFormat="1" ht="24" customHeight="1">
      <c r="A65" s="131">
        <v>6</v>
      </c>
      <c r="B65" s="447" t="s">
        <v>111</v>
      </c>
      <c r="C65" s="447"/>
      <c r="D65" s="447"/>
      <c r="E65" s="447"/>
      <c r="F65" s="447"/>
      <c r="G65" s="447"/>
      <c r="H65" s="447"/>
      <c r="I65" s="447"/>
      <c r="J65" s="447"/>
      <c r="K65" s="447"/>
      <c r="L65" s="447"/>
    </row>
    <row r="66" spans="1:14" s="91" customFormat="1" ht="12.75">
      <c r="A66" s="131">
        <v>7</v>
      </c>
      <c r="B66" s="447" t="s">
        <v>112</v>
      </c>
      <c r="C66" s="447"/>
      <c r="D66" s="447"/>
      <c r="E66" s="447"/>
      <c r="F66" s="447"/>
      <c r="G66" s="447"/>
      <c r="H66" s="447"/>
      <c r="I66" s="447"/>
      <c r="J66" s="447"/>
      <c r="K66" s="447"/>
      <c r="L66" s="447"/>
    </row>
    <row r="67" spans="1:14" s="91" customFormat="1" ht="12.75">
      <c r="A67" s="131">
        <v>8</v>
      </c>
      <c r="B67" s="447" t="s">
        <v>123</v>
      </c>
      <c r="C67" s="447"/>
      <c r="D67" s="447"/>
      <c r="E67" s="447"/>
      <c r="F67" s="447"/>
      <c r="G67" s="447"/>
      <c r="H67" s="447"/>
      <c r="I67" s="447"/>
      <c r="J67" s="447"/>
      <c r="K67" s="447"/>
      <c r="L67" s="447"/>
    </row>
    <row r="68" spans="1:14" s="91" customFormat="1" ht="12.75">
      <c r="A68" s="131">
        <v>9</v>
      </c>
      <c r="B68" s="447" t="s">
        <v>124</v>
      </c>
      <c r="C68" s="447"/>
      <c r="D68" s="447"/>
      <c r="E68" s="447"/>
      <c r="F68" s="447"/>
      <c r="G68" s="447"/>
      <c r="H68" s="447"/>
      <c r="I68" s="447"/>
      <c r="J68" s="447"/>
      <c r="K68" s="447"/>
      <c r="L68" s="447"/>
    </row>
    <row r="69" spans="1:14" ht="7.5" customHeight="1"/>
    <row r="70" spans="1:14" ht="17.25">
      <c r="A70" s="92"/>
      <c r="B70" s="443" t="s">
        <v>113</v>
      </c>
      <c r="C70" s="443"/>
      <c r="D70" s="184"/>
      <c r="E70" s="30" t="s">
        <v>114</v>
      </c>
      <c r="F70" s="30"/>
      <c r="G70" s="30"/>
      <c r="H70" s="184"/>
      <c r="J70" s="93"/>
      <c r="K70" s="444" t="s">
        <v>115</v>
      </c>
      <c r="L70" s="444"/>
    </row>
    <row r="71" spans="1:14">
      <c r="A71" s="92"/>
      <c r="B71" s="450" t="s">
        <v>34</v>
      </c>
      <c r="C71" s="450"/>
      <c r="D71" s="185"/>
      <c r="E71" s="30" t="s">
        <v>137</v>
      </c>
      <c r="F71" s="30"/>
      <c r="G71" s="30"/>
      <c r="H71" s="184"/>
      <c r="J71" s="93"/>
      <c r="K71" s="443" t="s">
        <v>136</v>
      </c>
      <c r="L71" s="443"/>
    </row>
    <row r="72" spans="1:14" ht="24" customHeight="1">
      <c r="K72" s="91"/>
      <c r="L72" s="91"/>
      <c r="N72" s="94"/>
    </row>
    <row r="73" spans="1:14" ht="16.350000000000001" customHeight="1">
      <c r="K73" s="91"/>
      <c r="L73" s="91"/>
      <c r="N73" s="94"/>
    </row>
    <row r="74" spans="1:14">
      <c r="B74" s="451"/>
      <c r="C74" s="451"/>
      <c r="D74" s="184"/>
      <c r="E74" s="95"/>
      <c r="F74" s="30"/>
      <c r="G74" s="30"/>
      <c r="H74" s="184"/>
      <c r="K74" s="96"/>
      <c r="L74" s="96"/>
      <c r="N74" s="94"/>
    </row>
    <row r="75" spans="1:14" s="53" customFormat="1" ht="12.75">
      <c r="B75" s="452"/>
      <c r="C75" s="452"/>
      <c r="D75" s="186"/>
      <c r="E75" s="130"/>
      <c r="F75" s="54"/>
      <c r="G75" s="54"/>
      <c r="H75" s="193"/>
      <c r="I75" s="54"/>
      <c r="J75" s="54"/>
      <c r="K75" s="53" t="s">
        <v>119</v>
      </c>
    </row>
    <row r="76" spans="1:14" ht="7.5" customHeight="1">
      <c r="A76" s="92"/>
      <c r="B76" s="92"/>
      <c r="C76" s="92"/>
      <c r="D76" s="187"/>
      <c r="E76" s="92"/>
      <c r="F76" s="92"/>
      <c r="J76" s="93"/>
    </row>
    <row r="78" spans="1:14">
      <c r="A78" s="132" t="s">
        <v>125</v>
      </c>
    </row>
    <row r="79" spans="1:14" ht="25.5" customHeight="1">
      <c r="A79" s="448" t="s">
        <v>138</v>
      </c>
      <c r="B79" s="448"/>
      <c r="C79" s="448"/>
      <c r="D79" s="448"/>
      <c r="E79" s="448"/>
      <c r="G79" s="453" t="s">
        <v>127</v>
      </c>
      <c r="H79" s="453"/>
      <c r="I79" s="453"/>
      <c r="K79" s="133" t="s">
        <v>128</v>
      </c>
    </row>
    <row r="80" spans="1:14" ht="24.75" customHeight="1">
      <c r="A80" s="448" t="s">
        <v>139</v>
      </c>
      <c r="B80" s="448" t="s">
        <v>126</v>
      </c>
      <c r="C80" s="448" t="s">
        <v>126</v>
      </c>
      <c r="D80" s="448" t="s">
        <v>126</v>
      </c>
      <c r="E80" s="448" t="s">
        <v>126</v>
      </c>
      <c r="G80" s="449" t="s">
        <v>142</v>
      </c>
      <c r="H80" s="449"/>
      <c r="I80" s="449"/>
      <c r="K80" s="133" t="s">
        <v>129</v>
      </c>
    </row>
    <row r="81" spans="11:11">
      <c r="K81" s="134"/>
    </row>
  </sheetData>
  <mergeCells count="48">
    <mergeCell ref="A80:E80"/>
    <mergeCell ref="G80:I80"/>
    <mergeCell ref="B71:C71"/>
    <mergeCell ref="K71:L71"/>
    <mergeCell ref="B74:C74"/>
    <mergeCell ref="B75:C75"/>
    <mergeCell ref="A79:E79"/>
    <mergeCell ref="G79:I79"/>
    <mergeCell ref="B70:C70"/>
    <mergeCell ref="K70:L70"/>
    <mergeCell ref="I57:L57"/>
    <mergeCell ref="K58:L58"/>
    <mergeCell ref="B60:L60"/>
    <mergeCell ref="B61:L61"/>
    <mergeCell ref="B62:L62"/>
    <mergeCell ref="B63:L63"/>
    <mergeCell ref="B64:L64"/>
    <mergeCell ref="B65:L65"/>
    <mergeCell ref="B66:L66"/>
    <mergeCell ref="B67:L67"/>
    <mergeCell ref="B68:L68"/>
    <mergeCell ref="A55:C55"/>
    <mergeCell ref="E55:G55"/>
    <mergeCell ref="I55:L55"/>
    <mergeCell ref="A56:C56"/>
    <mergeCell ref="E56:G56"/>
    <mergeCell ref="I56:L56"/>
    <mergeCell ref="A54:C54"/>
    <mergeCell ref="E54:G54"/>
    <mergeCell ref="I54:L54"/>
    <mergeCell ref="A13:C13"/>
    <mergeCell ref="E13:G13"/>
    <mergeCell ref="K13:L13"/>
    <mergeCell ref="K14:L14"/>
    <mergeCell ref="A15:C15"/>
    <mergeCell ref="E15:G15"/>
    <mergeCell ref="K15:L15"/>
    <mergeCell ref="A18:L18"/>
    <mergeCell ref="C23:C24"/>
    <mergeCell ref="C28:C29"/>
    <mergeCell ref="E34:F34"/>
    <mergeCell ref="E35:F35"/>
    <mergeCell ref="A7:L7"/>
    <mergeCell ref="I9:L11"/>
    <mergeCell ref="A11:C11"/>
    <mergeCell ref="E11:G11"/>
    <mergeCell ref="A12:C12"/>
    <mergeCell ref="E12:G12"/>
  </mergeCells>
  <hyperlinks>
    <hyperlink ref="K79" r:id="rId1"/>
    <hyperlink ref="K80" r:id="rId2"/>
  </hyperlinks>
  <printOptions horizontalCentered="1"/>
  <pageMargins left="0.19685039370078741" right="0.11811023622047245" top="0.23622047244094491" bottom="0.19685039370078741" header="0.11811023622047245" footer="0.11811023622047245"/>
  <pageSetup paperSize="9" scale="80" orientation="portrait" r:id="rId3"/>
  <headerFooter>
    <oddFooter>&amp;L&amp;"Calibri Light,Regular"&amp;9MI-FR-MKT-8.2-01.01; Rev.06; 03 Juli 2023&amp;R&amp;"Calibri (light),Regular"&amp;9&amp;P of &amp;N</oddFooter>
  </headerFooter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9"/>
  <sheetViews>
    <sheetView showGridLines="0" tabSelected="1" view="pageBreakPreview" zoomScale="87" zoomScaleNormal="108" zoomScaleSheetLayoutView="87" workbookViewId="0">
      <selection activeCell="F45" sqref="F45"/>
    </sheetView>
  </sheetViews>
  <sheetFormatPr defaultColWidth="9.42578125" defaultRowHeight="16.5"/>
  <cols>
    <col min="1" max="1" width="3.42578125" style="221" customWidth="1"/>
    <col min="2" max="2" width="10.42578125" style="221" customWidth="1"/>
    <col min="3" max="3" width="20.42578125" style="221" customWidth="1"/>
    <col min="4" max="4" width="17.5703125" style="221" customWidth="1"/>
    <col min="5" max="5" width="24.42578125" style="221" customWidth="1"/>
    <col min="6" max="6" width="28.42578125" style="221" bestFit="1" customWidth="1"/>
    <col min="7" max="8" width="28.42578125" style="221" hidden="1" customWidth="1"/>
    <col min="9" max="9" width="8.5703125" style="222" customWidth="1"/>
    <col min="10" max="10" width="7.42578125" style="222" customWidth="1"/>
    <col min="11" max="11" width="10.42578125" style="221" customWidth="1"/>
    <col min="12" max="12" width="13.140625" style="221" customWidth="1"/>
    <col min="13" max="14" width="9.42578125" style="221"/>
    <col min="15" max="15" width="37.42578125" style="221" bestFit="1" customWidth="1"/>
    <col min="16" max="16" width="9.42578125" style="221"/>
    <col min="17" max="17" width="33" style="221" bestFit="1" customWidth="1"/>
    <col min="18" max="18" width="9.42578125" style="221"/>
    <col min="19" max="19" width="21.5703125" style="221" bestFit="1" customWidth="1"/>
    <col min="20" max="16384" width="9.42578125" style="221"/>
  </cols>
  <sheetData>
    <row r="1" spans="1:21">
      <c r="N1" s="221">
        <v>1</v>
      </c>
      <c r="O1" s="221" t="s">
        <v>24</v>
      </c>
      <c r="Q1" s="221" t="s">
        <v>50</v>
      </c>
      <c r="S1" s="221" t="s">
        <v>55</v>
      </c>
      <c r="U1" s="221" t="s">
        <v>65</v>
      </c>
    </row>
    <row r="2" spans="1:21" ht="15" customHeight="1">
      <c r="A2" s="266"/>
      <c r="B2" s="266"/>
      <c r="C2" s="266"/>
      <c r="D2" s="266"/>
      <c r="E2" s="266"/>
      <c r="F2" s="266"/>
      <c r="G2" s="266"/>
      <c r="H2" s="266"/>
      <c r="N2" s="221">
        <v>2</v>
      </c>
      <c r="O2" s="221" t="s">
        <v>25</v>
      </c>
      <c r="Q2" s="221" t="s">
        <v>51</v>
      </c>
      <c r="S2" s="221" t="s">
        <v>56</v>
      </c>
      <c r="U2" s="221" t="s">
        <v>66</v>
      </c>
    </row>
    <row r="3" spans="1:21" ht="25.5" customHeight="1">
      <c r="I3" s="267"/>
      <c r="J3" s="267"/>
      <c r="K3" s="268"/>
      <c r="L3" s="268"/>
      <c r="N3" s="221">
        <v>3</v>
      </c>
      <c r="O3" s="221" t="s">
        <v>26</v>
      </c>
      <c r="Q3" s="221" t="s">
        <v>52</v>
      </c>
      <c r="S3" s="221" t="s">
        <v>57</v>
      </c>
      <c r="U3" s="221" t="s">
        <v>67</v>
      </c>
    </row>
    <row r="4" spans="1:21" ht="15" customHeight="1">
      <c r="I4" s="267"/>
      <c r="J4" s="267"/>
      <c r="K4" s="268"/>
      <c r="L4" s="268"/>
      <c r="N4" s="221">
        <v>4</v>
      </c>
      <c r="O4" s="221" t="s">
        <v>6</v>
      </c>
      <c r="Q4" s="221" t="s">
        <v>53</v>
      </c>
      <c r="S4" s="221" t="s">
        <v>58</v>
      </c>
      <c r="U4" s="221" t="s">
        <v>68</v>
      </c>
    </row>
    <row r="5" spans="1:21" ht="11.25" customHeight="1">
      <c r="A5" s="269"/>
      <c r="B5" s="269"/>
      <c r="C5" s="269"/>
      <c r="D5" s="269"/>
      <c r="E5" s="269"/>
      <c r="F5" s="269"/>
      <c r="G5" s="269"/>
      <c r="H5" s="269"/>
      <c r="I5" s="270"/>
      <c r="J5" s="270"/>
      <c r="K5" s="269"/>
      <c r="L5" s="269"/>
      <c r="N5" s="221">
        <v>5</v>
      </c>
      <c r="O5" s="221" t="s">
        <v>27</v>
      </c>
      <c r="Q5" s="221" t="s">
        <v>54</v>
      </c>
      <c r="S5" s="221" t="s">
        <v>59</v>
      </c>
      <c r="U5" s="221" t="s">
        <v>69</v>
      </c>
    </row>
    <row r="6" spans="1:21" ht="6.75" customHeight="1"/>
    <row r="7" spans="1:21" ht="23.25">
      <c r="A7" s="479" t="s">
        <v>90</v>
      </c>
      <c r="B7" s="479"/>
      <c r="C7" s="479"/>
      <c r="D7" s="479"/>
      <c r="E7" s="479"/>
      <c r="F7" s="479"/>
      <c r="G7" s="479"/>
      <c r="H7" s="479"/>
      <c r="I7" s="479"/>
      <c r="J7" s="479"/>
      <c r="K7" s="479"/>
      <c r="L7" s="479"/>
    </row>
    <row r="8" spans="1:21">
      <c r="I8" s="271"/>
      <c r="J8" s="271"/>
      <c r="K8" s="272"/>
      <c r="L8" s="272"/>
      <c r="N8" s="221">
        <v>6</v>
      </c>
      <c r="O8" s="221" t="s">
        <v>28</v>
      </c>
      <c r="S8" s="221" t="s">
        <v>60</v>
      </c>
      <c r="U8" s="221" t="s">
        <v>70</v>
      </c>
    </row>
    <row r="9" spans="1:21" ht="7.5" customHeight="1">
      <c r="I9" s="324"/>
      <c r="J9" s="325"/>
      <c r="K9" s="325"/>
      <c r="L9" s="326"/>
    </row>
    <row r="10" spans="1:21" ht="15.75" customHeight="1">
      <c r="A10" s="273" t="s">
        <v>94</v>
      </c>
      <c r="B10" s="274"/>
      <c r="C10" s="274"/>
      <c r="E10" s="275" t="s">
        <v>95</v>
      </c>
      <c r="F10" s="274"/>
      <c r="G10" s="274"/>
      <c r="H10" s="274"/>
      <c r="I10" s="330"/>
      <c r="J10" s="390" t="s">
        <v>215</v>
      </c>
      <c r="K10" s="391"/>
      <c r="L10" s="331"/>
      <c r="N10" s="221">
        <v>7</v>
      </c>
      <c r="O10" s="221" t="s">
        <v>29</v>
      </c>
      <c r="S10" s="221" t="s">
        <v>61</v>
      </c>
    </row>
    <row r="11" spans="1:21" ht="15.75" customHeight="1">
      <c r="A11" s="471" t="str">
        <f>'1 Customer Information'!$B$2</f>
        <v>PT CONTOH</v>
      </c>
      <c r="B11" s="471"/>
      <c r="C11" s="471"/>
      <c r="D11" s="471"/>
      <c r="E11" s="471" t="str">
        <f>'1 Customer Information'!$B$10</f>
        <v>PT CONTOH</v>
      </c>
      <c r="F11" s="471"/>
      <c r="G11" s="277"/>
      <c r="H11" s="277"/>
      <c r="I11" s="327"/>
      <c r="J11" s="328"/>
      <c r="K11" s="328"/>
      <c r="L11" s="329"/>
      <c r="S11" s="221" t="s">
        <v>62</v>
      </c>
    </row>
    <row r="12" spans="1:21">
      <c r="A12" s="472" t="str">
        <f>'1 Customer Information'!$B$3</f>
        <v>Jl. Jatiwangi No 44 kamurang</v>
      </c>
      <c r="B12" s="472"/>
      <c r="C12" s="472"/>
      <c r="D12" s="472"/>
      <c r="E12" s="472" t="str">
        <f>'1 Customer Information'!$B$11</f>
        <v>Jl. Jatiwangi No 44 kamurang</v>
      </c>
      <c r="F12" s="472"/>
      <c r="G12" s="373"/>
      <c r="H12" s="373"/>
      <c r="I12" s="276"/>
      <c r="K12" s="276"/>
      <c r="L12" s="276"/>
      <c r="S12" s="221" t="s">
        <v>63</v>
      </c>
    </row>
    <row r="13" spans="1:21" ht="17.25" thickBot="1">
      <c r="A13" s="473" t="str">
        <f>+'1 Customer Information'!B4</f>
        <v>Kec. Cikarang Barat, Kab. Bekasi</v>
      </c>
      <c r="B13" s="473"/>
      <c r="C13" s="473"/>
      <c r="D13" s="473"/>
      <c r="E13" s="473" t="str">
        <f>+'1 Customer Information'!B12</f>
        <v>Kec. Cikarang Barat, Kab. Bekasi</v>
      </c>
      <c r="F13" s="473"/>
      <c r="G13" s="373"/>
      <c r="H13" s="373"/>
      <c r="I13" s="277" t="s">
        <v>140</v>
      </c>
      <c r="K13" s="389" t="s">
        <v>319</v>
      </c>
      <c r="S13" s="221" t="s">
        <v>64</v>
      </c>
    </row>
    <row r="14" spans="1:21" ht="17.25" thickBot="1">
      <c r="A14" s="278" t="str">
        <f>"CP. "&amp;'1 Customer Information'!$B$5</f>
        <v>CP. Ibu Lia</v>
      </c>
      <c r="B14" s="279"/>
      <c r="C14" s="280"/>
      <c r="D14" s="280" t="str">
        <f>"Ph. "&amp;'1 Customer Information'!$B$7</f>
        <v>Ph. 082310833657</v>
      </c>
      <c r="E14" s="281" t="str">
        <f>"CP. "&amp;'1 Customer Information'!$B$13</f>
        <v>CP. Ibu Lia</v>
      </c>
      <c r="F14" s="280" t="str">
        <f>"Ph. "&amp;'1 Customer Information'!$B$15</f>
        <v>Ph. 082310833657</v>
      </c>
      <c r="G14" s="374"/>
      <c r="H14" s="374"/>
      <c r="I14" s="282" t="s">
        <v>37</v>
      </c>
      <c r="K14" s="474">
        <v>46090</v>
      </c>
      <c r="L14" s="474"/>
    </row>
    <row r="15" spans="1:21">
      <c r="A15" s="476" t="str">
        <f>"Email. "&amp;'1 Customer Information'!$B$6</f>
        <v>Email. lia@medialab.co.id</v>
      </c>
      <c r="B15" s="476"/>
      <c r="C15" s="476"/>
      <c r="D15" s="476"/>
      <c r="E15" s="477" t="str">
        <f>"Email. "&amp;'1 Customer Information'!$B$14</f>
        <v>Email. lia@medialab.co.id</v>
      </c>
      <c r="F15" s="477"/>
      <c r="G15" s="276"/>
      <c r="H15" s="276"/>
      <c r="I15" s="277" t="s">
        <v>96</v>
      </c>
      <c r="K15" s="474">
        <f>K14+7</f>
        <v>46097</v>
      </c>
      <c r="L15" s="474"/>
    </row>
    <row r="16" spans="1:21">
      <c r="A16" s="276"/>
      <c r="B16" s="276"/>
      <c r="C16" s="276"/>
      <c r="E16" s="276"/>
      <c r="F16" s="276"/>
      <c r="G16" s="276"/>
      <c r="H16" s="276"/>
      <c r="I16" s="276"/>
      <c r="K16" s="276"/>
      <c r="L16" s="276"/>
    </row>
    <row r="17" spans="1:12">
      <c r="A17" s="221" t="s">
        <v>91</v>
      </c>
      <c r="D17" s="276"/>
      <c r="I17" s="276"/>
      <c r="K17" s="276"/>
      <c r="L17" s="276"/>
    </row>
    <row r="18" spans="1:12">
      <c r="A18" s="467" t="s">
        <v>92</v>
      </c>
      <c r="B18" s="467"/>
      <c r="C18" s="467"/>
      <c r="D18" s="467"/>
      <c r="E18" s="467"/>
      <c r="F18" s="467"/>
      <c r="G18" s="467"/>
      <c r="H18" s="467"/>
      <c r="I18" s="467"/>
      <c r="J18" s="467"/>
      <c r="K18" s="467"/>
      <c r="L18" s="467"/>
    </row>
    <row r="19" spans="1:12" ht="7.5" customHeight="1" thickBot="1">
      <c r="D19" s="276"/>
    </row>
    <row r="20" spans="1:12" ht="15.75" hidden="1" customHeight="1" thickBot="1">
      <c r="D20" s="276"/>
      <c r="J20" s="283"/>
      <c r="K20" s="284"/>
    </row>
    <row r="21" spans="1:12" ht="15.75" hidden="1" customHeight="1">
      <c r="B21" s="276" t="s">
        <v>8</v>
      </c>
      <c r="C21" s="276"/>
      <c r="D21" s="276"/>
      <c r="F21" s="284" t="s">
        <v>9</v>
      </c>
      <c r="G21" s="284"/>
      <c r="H21" s="284"/>
      <c r="I21" s="283"/>
      <c r="J21" s="283"/>
      <c r="K21" s="284"/>
    </row>
    <row r="22" spans="1:12" ht="15.75" hidden="1" customHeight="1" thickBot="1">
      <c r="B22" s="276" t="s">
        <v>0</v>
      </c>
      <c r="C22" s="276"/>
      <c r="D22" s="276"/>
      <c r="F22" s="284" t="s">
        <v>10</v>
      </c>
      <c r="G22" s="284"/>
      <c r="H22" s="284"/>
      <c r="I22" s="283"/>
      <c r="J22" s="283"/>
      <c r="K22" s="284"/>
    </row>
    <row r="23" spans="1:12" ht="15.75" hidden="1" customHeight="1" thickBot="1">
      <c r="B23" s="276" t="s">
        <v>11</v>
      </c>
      <c r="C23" s="276"/>
      <c r="D23" s="455"/>
      <c r="F23" s="284"/>
      <c r="G23" s="284"/>
      <c r="H23" s="284"/>
      <c r="I23" s="283"/>
      <c r="J23" s="283"/>
      <c r="K23" s="284"/>
    </row>
    <row r="24" spans="1:12" ht="15.75" hidden="1" customHeight="1" thickBot="1">
      <c r="B24" s="276"/>
      <c r="C24" s="276"/>
      <c r="D24" s="455"/>
      <c r="F24" s="284" t="s">
        <v>12</v>
      </c>
      <c r="G24" s="284"/>
      <c r="H24" s="284"/>
      <c r="I24" s="283"/>
      <c r="J24" s="283"/>
      <c r="K24" s="284"/>
    </row>
    <row r="25" spans="1:12" ht="15.75" hidden="1" customHeight="1" thickBot="1">
      <c r="B25" s="276" t="s">
        <v>13</v>
      </c>
      <c r="C25" s="276"/>
      <c r="D25" s="276"/>
      <c r="F25" s="284" t="s">
        <v>14</v>
      </c>
      <c r="G25" s="284"/>
      <c r="H25" s="284"/>
      <c r="I25" s="283"/>
      <c r="J25" s="283"/>
      <c r="K25" s="284"/>
    </row>
    <row r="26" spans="1:12" ht="15.75" hidden="1" customHeight="1" thickBot="1">
      <c r="B26" s="276" t="s">
        <v>15</v>
      </c>
      <c r="C26" s="276"/>
      <c r="D26" s="276"/>
      <c r="F26" s="284" t="s">
        <v>16</v>
      </c>
      <c r="G26" s="284"/>
      <c r="H26" s="284"/>
      <c r="I26" s="283"/>
      <c r="J26" s="283"/>
      <c r="K26" s="284"/>
    </row>
    <row r="27" spans="1:12" ht="15.75" hidden="1" customHeight="1" thickBot="1">
      <c r="B27" s="276" t="s">
        <v>17</v>
      </c>
      <c r="C27" s="276"/>
      <c r="D27" s="276"/>
      <c r="F27" s="284" t="s">
        <v>10</v>
      </c>
      <c r="G27" s="284"/>
      <c r="H27" s="284"/>
      <c r="I27" s="283"/>
      <c r="J27" s="283"/>
      <c r="K27" s="284"/>
    </row>
    <row r="28" spans="1:12" ht="15.75" hidden="1" customHeight="1" thickBot="1">
      <c r="B28" s="276" t="s">
        <v>18</v>
      </c>
      <c r="C28" s="276"/>
      <c r="D28" s="456"/>
      <c r="F28" s="284"/>
      <c r="G28" s="284"/>
      <c r="H28" s="284"/>
      <c r="I28" s="283"/>
      <c r="J28" s="283"/>
      <c r="K28" s="284"/>
    </row>
    <row r="29" spans="1:12" ht="15.75" hidden="1" customHeight="1" thickBot="1">
      <c r="B29" s="276"/>
      <c r="C29" s="276"/>
      <c r="D29" s="456"/>
      <c r="F29" s="284">
        <v>81313151613</v>
      </c>
      <c r="G29" s="284"/>
      <c r="H29" s="284"/>
      <c r="I29" s="283"/>
      <c r="J29" s="283"/>
      <c r="K29" s="284"/>
    </row>
    <row r="30" spans="1:12" ht="15.75" hidden="1" customHeight="1" thickBot="1">
      <c r="B30" s="276" t="s">
        <v>19</v>
      </c>
      <c r="C30" s="276"/>
      <c r="D30" s="276"/>
      <c r="F30" s="284"/>
      <c r="G30" s="284"/>
      <c r="H30" s="284"/>
      <c r="I30" s="283"/>
    </row>
    <row r="31" spans="1:12" ht="15.75" hidden="1" customHeight="1" thickBot="1">
      <c r="B31" s="276" t="s">
        <v>20</v>
      </c>
      <c r="C31" s="276"/>
      <c r="D31" s="276"/>
    </row>
    <row r="32" spans="1:12" ht="15.75" hidden="1" customHeight="1" thickBot="1">
      <c r="B32" s="276"/>
      <c r="C32" s="276"/>
      <c r="D32" s="276"/>
      <c r="J32" s="285"/>
      <c r="K32" s="286"/>
      <c r="L32" s="286"/>
    </row>
    <row r="33" spans="1:12" ht="29.25" hidden="1" customHeight="1" thickBot="1">
      <c r="A33" s="286" t="s">
        <v>21</v>
      </c>
      <c r="B33" s="286"/>
      <c r="C33" s="286"/>
      <c r="D33" s="286"/>
      <c r="E33" s="286"/>
      <c r="F33" s="286"/>
      <c r="G33" s="286"/>
      <c r="H33" s="286"/>
      <c r="I33" s="285"/>
      <c r="J33" s="287"/>
      <c r="K33" s="288"/>
      <c r="L33" s="288"/>
    </row>
    <row r="34" spans="1:12" ht="33.75" thickBot="1">
      <c r="A34" s="211" t="s">
        <v>2</v>
      </c>
      <c r="B34" s="212" t="s">
        <v>97</v>
      </c>
      <c r="C34" s="213" t="s">
        <v>149</v>
      </c>
      <c r="D34" s="212" t="s">
        <v>154</v>
      </c>
      <c r="E34" s="212" t="s">
        <v>150</v>
      </c>
      <c r="F34" s="212" t="s">
        <v>100</v>
      </c>
      <c r="G34" s="212"/>
      <c r="H34" s="212"/>
      <c r="I34" s="214" t="s">
        <v>101</v>
      </c>
      <c r="J34" s="246" t="s">
        <v>152</v>
      </c>
      <c r="K34" s="212" t="s">
        <v>102</v>
      </c>
      <c r="L34" s="212" t="s">
        <v>22</v>
      </c>
    </row>
    <row r="35" spans="1:12" ht="18" customHeight="1">
      <c r="A35" s="215" t="s">
        <v>318</v>
      </c>
      <c r="B35" s="215"/>
      <c r="C35" s="215"/>
      <c r="D35" s="216"/>
      <c r="E35" s="216"/>
      <c r="F35" s="216"/>
      <c r="G35" s="216"/>
      <c r="H35" s="216"/>
      <c r="I35" s="217"/>
      <c r="J35" s="218"/>
      <c r="K35" s="219"/>
      <c r="L35" s="219"/>
    </row>
    <row r="36" spans="1:12" s="284" customFormat="1" ht="14.25" customHeight="1">
      <c r="A36" s="404">
        <v>1</v>
      </c>
      <c r="B36" s="463" t="s">
        <v>216</v>
      </c>
      <c r="C36" s="265" t="s">
        <v>217</v>
      </c>
      <c r="D36" s="536" t="s">
        <v>218</v>
      </c>
      <c r="E36" s="265" t="s">
        <v>219</v>
      </c>
      <c r="F36" s="265" t="s">
        <v>220</v>
      </c>
      <c r="G36" s="265"/>
      <c r="H36" s="265"/>
      <c r="I36" s="398" t="s">
        <v>311</v>
      </c>
      <c r="J36" s="399">
        <v>4</v>
      </c>
      <c r="K36" s="265">
        <v>2500000</v>
      </c>
      <c r="L36" s="223">
        <f>J36*K36</f>
        <v>10000000</v>
      </c>
    </row>
    <row r="37" spans="1:12" s="284" customFormat="1" ht="15.75" customHeight="1">
      <c r="A37" s="405"/>
      <c r="B37" s="458"/>
      <c r="C37" s="265" t="s">
        <v>221</v>
      </c>
      <c r="D37" s="537"/>
      <c r="E37" s="265" t="s">
        <v>222</v>
      </c>
      <c r="F37" s="265" t="s">
        <v>223</v>
      </c>
      <c r="G37" s="265"/>
      <c r="H37" s="265"/>
      <c r="I37" s="398" t="s">
        <v>311</v>
      </c>
      <c r="J37" s="399"/>
      <c r="K37" s="265"/>
      <c r="L37" s="400"/>
    </row>
    <row r="38" spans="1:12" s="284" customFormat="1" ht="15.75" customHeight="1">
      <c r="A38" s="405"/>
      <c r="B38" s="265"/>
      <c r="C38" s="265"/>
      <c r="D38" s="537"/>
      <c r="E38" s="265" t="s">
        <v>224</v>
      </c>
      <c r="F38" s="265" t="s">
        <v>225</v>
      </c>
      <c r="G38" s="265"/>
      <c r="H38" s="265"/>
      <c r="I38" s="398" t="s">
        <v>311</v>
      </c>
      <c r="J38" s="399"/>
      <c r="K38" s="265"/>
      <c r="L38" s="400"/>
    </row>
    <row r="39" spans="1:12" s="284" customFormat="1" ht="15.75" customHeight="1">
      <c r="A39" s="405"/>
      <c r="B39" s="265"/>
      <c r="C39" s="265"/>
      <c r="D39" s="415"/>
      <c r="E39" s="265" t="s">
        <v>226</v>
      </c>
      <c r="F39" s="265" t="s">
        <v>227</v>
      </c>
      <c r="G39" s="265"/>
      <c r="H39" s="265"/>
      <c r="I39" s="398" t="s">
        <v>311</v>
      </c>
      <c r="J39" s="399"/>
      <c r="K39" s="265"/>
      <c r="L39" s="400"/>
    </row>
    <row r="40" spans="1:12" s="284" customFormat="1" ht="15.75" customHeight="1">
      <c r="A40" s="405"/>
      <c r="B40" s="265"/>
      <c r="C40" s="265"/>
      <c r="D40" s="415"/>
      <c r="E40" s="265" t="s">
        <v>228</v>
      </c>
      <c r="F40" s="265" t="s">
        <v>229</v>
      </c>
      <c r="G40" s="265"/>
      <c r="H40" s="265"/>
      <c r="I40" s="398" t="s">
        <v>312</v>
      </c>
      <c r="J40" s="399"/>
      <c r="K40" s="265"/>
      <c r="L40" s="400"/>
    </row>
    <row r="41" spans="1:12" s="284" customFormat="1" ht="15.75" customHeight="1">
      <c r="A41" s="405"/>
      <c r="B41" s="265"/>
      <c r="C41" s="265"/>
      <c r="D41" s="415"/>
      <c r="E41" s="265" t="s">
        <v>230</v>
      </c>
      <c r="F41" s="265" t="s">
        <v>231</v>
      </c>
      <c r="G41" s="265"/>
      <c r="H41" s="265"/>
      <c r="I41" s="398" t="s">
        <v>313</v>
      </c>
      <c r="J41" s="399"/>
      <c r="K41" s="265"/>
      <c r="L41" s="400"/>
    </row>
    <row r="42" spans="1:12" s="284" customFormat="1" ht="15.75" customHeight="1">
      <c r="A42" s="405"/>
      <c r="B42" s="265"/>
      <c r="C42" s="265"/>
      <c r="D42" s="415"/>
      <c r="E42" s="265" t="s">
        <v>232</v>
      </c>
      <c r="F42" s="265" t="s">
        <v>233</v>
      </c>
      <c r="G42" s="265"/>
      <c r="H42" s="265"/>
      <c r="I42" s="398" t="s">
        <v>313</v>
      </c>
      <c r="J42" s="399"/>
      <c r="K42" s="265"/>
      <c r="L42" s="400"/>
    </row>
    <row r="43" spans="1:12" s="284" customFormat="1" ht="15.75" customHeight="1">
      <c r="A43" s="405"/>
      <c r="B43" s="265"/>
      <c r="C43" s="265"/>
      <c r="D43" s="415"/>
      <c r="E43" s="265" t="s">
        <v>234</v>
      </c>
      <c r="F43" s="265" t="s">
        <v>235</v>
      </c>
      <c r="G43" s="265"/>
      <c r="H43" s="265"/>
      <c r="I43" s="398" t="s">
        <v>313</v>
      </c>
      <c r="J43" s="399"/>
      <c r="K43" s="265"/>
      <c r="L43" s="400"/>
    </row>
    <row r="44" spans="1:12" s="284" customFormat="1" ht="15.75" customHeight="1">
      <c r="A44" s="405"/>
      <c r="B44" s="265"/>
      <c r="C44" s="265"/>
      <c r="D44" s="415"/>
      <c r="E44" s="265" t="s">
        <v>236</v>
      </c>
      <c r="F44" s="265" t="s">
        <v>237</v>
      </c>
      <c r="G44" s="265"/>
      <c r="H44" s="265"/>
      <c r="I44" s="398" t="s">
        <v>313</v>
      </c>
      <c r="J44" s="399"/>
      <c r="K44" s="265"/>
      <c r="L44" s="400"/>
    </row>
    <row r="45" spans="1:12" s="284" customFormat="1" ht="15.75" customHeight="1">
      <c r="A45" s="405"/>
      <c r="B45" s="265"/>
      <c r="C45" s="265"/>
      <c r="D45" s="537" t="s">
        <v>238</v>
      </c>
      <c r="E45" s="265" t="s">
        <v>239</v>
      </c>
      <c r="F45" s="265" t="s">
        <v>240</v>
      </c>
      <c r="G45" s="265"/>
      <c r="H45" s="265"/>
      <c r="I45" s="398"/>
      <c r="J45" s="399"/>
      <c r="K45" s="265"/>
      <c r="L45" s="400"/>
    </row>
    <row r="46" spans="1:12" s="284" customFormat="1" ht="15.75" customHeight="1">
      <c r="A46" s="405"/>
      <c r="B46" s="265"/>
      <c r="C46" s="265"/>
      <c r="D46" s="537"/>
      <c r="E46" s="265" t="s">
        <v>241</v>
      </c>
      <c r="F46" s="265" t="s">
        <v>242</v>
      </c>
      <c r="G46" s="265"/>
      <c r="H46" s="265"/>
      <c r="I46" s="398"/>
      <c r="J46" s="399"/>
      <c r="K46" s="265"/>
      <c r="L46" s="400"/>
    </row>
    <row r="47" spans="1:12" s="284" customFormat="1" ht="15.75" customHeight="1">
      <c r="A47" s="406"/>
      <c r="B47" s="407"/>
      <c r="C47" s="407"/>
      <c r="D47" s="416"/>
      <c r="E47" s="407"/>
      <c r="F47" s="407"/>
      <c r="G47" s="407"/>
      <c r="H47" s="407"/>
      <c r="I47" s="408"/>
      <c r="J47" s="409"/>
      <c r="K47" s="407"/>
      <c r="L47" s="410"/>
    </row>
    <row r="48" spans="1:12" s="284" customFormat="1" ht="15.75" customHeight="1">
      <c r="A48" s="404">
        <v>2</v>
      </c>
      <c r="B48" s="463" t="s">
        <v>243</v>
      </c>
      <c r="C48" s="411" t="s">
        <v>217</v>
      </c>
      <c r="D48" s="536" t="s">
        <v>244</v>
      </c>
      <c r="E48" s="411" t="s">
        <v>245</v>
      </c>
      <c r="F48" s="411" t="s">
        <v>246</v>
      </c>
      <c r="G48" s="411"/>
      <c r="H48" s="411"/>
      <c r="I48" s="412" t="s">
        <v>313</v>
      </c>
      <c r="J48" s="413">
        <v>4</v>
      </c>
      <c r="K48" s="411">
        <v>400000</v>
      </c>
      <c r="L48" s="223">
        <f>J48*K48</f>
        <v>1600000</v>
      </c>
    </row>
    <row r="49" spans="1:12" s="284" customFormat="1" ht="15.75" customHeight="1">
      <c r="A49" s="405"/>
      <c r="B49" s="458"/>
      <c r="C49" s="265" t="s">
        <v>221</v>
      </c>
      <c r="D49" s="537"/>
      <c r="E49" s="265"/>
      <c r="F49" s="265"/>
      <c r="G49" s="265"/>
      <c r="H49" s="265"/>
      <c r="I49" s="398"/>
      <c r="J49" s="399"/>
      <c r="K49" s="265"/>
      <c r="L49" s="400"/>
    </row>
    <row r="50" spans="1:12" s="284" customFormat="1" ht="15.75" customHeight="1">
      <c r="A50" s="406"/>
      <c r="B50" s="464"/>
      <c r="C50" s="407"/>
      <c r="D50" s="416"/>
      <c r="E50" s="407"/>
      <c r="F50" s="407"/>
      <c r="G50" s="407"/>
      <c r="H50" s="407"/>
      <c r="I50" s="408"/>
      <c r="J50" s="409"/>
      <c r="K50" s="407"/>
      <c r="L50" s="410"/>
    </row>
    <row r="51" spans="1:12" s="284" customFormat="1" ht="15.75" customHeight="1">
      <c r="A51" s="405">
        <v>3</v>
      </c>
      <c r="B51" s="458" t="s">
        <v>247</v>
      </c>
      <c r="C51" s="265"/>
      <c r="D51" s="537" t="s">
        <v>248</v>
      </c>
      <c r="E51" s="265" t="s">
        <v>219</v>
      </c>
      <c r="F51" s="265" t="s">
        <v>249</v>
      </c>
      <c r="G51" s="265"/>
      <c r="H51" s="265"/>
      <c r="I51" s="398" t="s">
        <v>314</v>
      </c>
      <c r="J51" s="399">
        <v>2</v>
      </c>
      <c r="K51" s="265">
        <v>950000</v>
      </c>
      <c r="L51" s="223">
        <f>J51*K51</f>
        <v>1900000</v>
      </c>
    </row>
    <row r="52" spans="1:12" s="284" customFormat="1" ht="15.75" customHeight="1">
      <c r="A52" s="405"/>
      <c r="B52" s="458"/>
      <c r="C52" s="265"/>
      <c r="D52" s="537"/>
      <c r="E52" s="265" t="s">
        <v>222</v>
      </c>
      <c r="F52" s="265" t="s">
        <v>250</v>
      </c>
      <c r="G52" s="265"/>
      <c r="H52" s="265"/>
      <c r="I52" s="398"/>
      <c r="J52" s="399"/>
      <c r="K52" s="265"/>
      <c r="L52" s="400"/>
    </row>
    <row r="53" spans="1:12" s="284" customFormat="1" ht="15.75" customHeight="1">
      <c r="A53" s="405"/>
      <c r="B53" s="458"/>
      <c r="C53" s="265"/>
      <c r="D53" s="537"/>
      <c r="E53" s="265" t="s">
        <v>224</v>
      </c>
      <c r="F53" s="265" t="s">
        <v>251</v>
      </c>
      <c r="G53" s="265"/>
      <c r="H53" s="265"/>
      <c r="I53" s="398"/>
      <c r="J53" s="399"/>
      <c r="K53" s="265"/>
      <c r="L53" s="400"/>
    </row>
    <row r="54" spans="1:12" s="284" customFormat="1" ht="15.75" customHeight="1">
      <c r="A54" s="405"/>
      <c r="B54" s="265"/>
      <c r="C54" s="265"/>
      <c r="D54" s="415"/>
      <c r="E54" s="265" t="s">
        <v>252</v>
      </c>
      <c r="F54" s="265" t="s">
        <v>253</v>
      </c>
      <c r="G54" s="265"/>
      <c r="H54" s="265"/>
      <c r="I54" s="398"/>
      <c r="J54" s="399"/>
      <c r="K54" s="265"/>
      <c r="L54" s="400"/>
    </row>
    <row r="55" spans="1:12" s="284" customFormat="1" ht="15.75" customHeight="1">
      <c r="A55" s="405"/>
      <c r="B55" s="265"/>
      <c r="C55" s="265"/>
      <c r="D55" s="415"/>
      <c r="E55" s="265" t="s">
        <v>239</v>
      </c>
      <c r="F55" s="265" t="s">
        <v>254</v>
      </c>
      <c r="G55" s="265"/>
      <c r="H55" s="265"/>
      <c r="I55" s="398"/>
      <c r="J55" s="399"/>
      <c r="K55" s="265"/>
      <c r="L55" s="400"/>
    </row>
    <row r="56" spans="1:12" s="284" customFormat="1" ht="15.75" customHeight="1">
      <c r="A56" s="405"/>
      <c r="B56" s="265"/>
      <c r="C56" s="265"/>
      <c r="D56" s="415"/>
      <c r="E56" s="265" t="s">
        <v>241</v>
      </c>
      <c r="F56" s="265" t="s">
        <v>255</v>
      </c>
      <c r="G56" s="265"/>
      <c r="H56" s="265"/>
      <c r="I56" s="398"/>
      <c r="J56" s="399"/>
      <c r="K56" s="265"/>
      <c r="L56" s="400"/>
    </row>
    <row r="57" spans="1:12" s="284" customFormat="1" ht="15.75" customHeight="1">
      <c r="A57" s="406"/>
      <c r="B57" s="407"/>
      <c r="C57" s="407"/>
      <c r="D57" s="416"/>
      <c r="E57" s="407"/>
      <c r="F57" s="407"/>
      <c r="G57" s="407"/>
      <c r="H57" s="407"/>
      <c r="I57" s="408"/>
      <c r="J57" s="409"/>
      <c r="K57" s="407"/>
      <c r="L57" s="410"/>
    </row>
    <row r="58" spans="1:12" s="284" customFormat="1" ht="15.75" customHeight="1">
      <c r="A58" s="404">
        <v>4</v>
      </c>
      <c r="B58" s="463" t="s">
        <v>256</v>
      </c>
      <c r="C58" s="411"/>
      <c r="D58" s="536" t="s">
        <v>257</v>
      </c>
      <c r="E58" s="411" t="s">
        <v>245</v>
      </c>
      <c r="F58" s="411" t="s">
        <v>258</v>
      </c>
      <c r="G58" s="411"/>
      <c r="H58" s="411"/>
      <c r="I58" s="412" t="s">
        <v>314</v>
      </c>
      <c r="J58" s="413">
        <v>2</v>
      </c>
      <c r="K58" s="411">
        <v>50000</v>
      </c>
      <c r="L58" s="223">
        <f>J58*K58</f>
        <v>100000</v>
      </c>
    </row>
    <row r="59" spans="1:12" s="284" customFormat="1" ht="15.75" customHeight="1">
      <c r="A59" s="405"/>
      <c r="B59" s="458"/>
      <c r="C59" s="265"/>
      <c r="D59" s="537"/>
      <c r="E59" s="265"/>
      <c r="F59" s="265"/>
      <c r="G59" s="265"/>
      <c r="H59" s="265"/>
      <c r="I59" s="398"/>
      <c r="J59" s="399"/>
      <c r="K59" s="265"/>
      <c r="L59" s="400"/>
    </row>
    <row r="60" spans="1:12" s="284" customFormat="1" ht="15.75" customHeight="1">
      <c r="A60" s="406"/>
      <c r="B60" s="464"/>
      <c r="C60" s="407"/>
      <c r="D60" s="416"/>
      <c r="E60" s="407"/>
      <c r="F60" s="407"/>
      <c r="G60" s="407"/>
      <c r="H60" s="407"/>
      <c r="I60" s="408"/>
      <c r="J60" s="409"/>
      <c r="K60" s="407"/>
      <c r="L60" s="410"/>
    </row>
    <row r="61" spans="1:12" s="284" customFormat="1" ht="15.75" customHeight="1">
      <c r="A61" s="405">
        <v>5</v>
      </c>
      <c r="B61" s="458" t="s">
        <v>259</v>
      </c>
      <c r="C61" s="265"/>
      <c r="D61" s="537" t="s">
        <v>260</v>
      </c>
      <c r="E61" s="265" t="s">
        <v>261</v>
      </c>
      <c r="F61" s="265" t="s">
        <v>262</v>
      </c>
      <c r="G61" s="265"/>
      <c r="H61" s="265"/>
      <c r="I61" s="398"/>
      <c r="J61" s="399">
        <v>2</v>
      </c>
      <c r="K61" s="265">
        <v>1000000</v>
      </c>
      <c r="L61" s="223">
        <f>J61*K61</f>
        <v>2000000</v>
      </c>
    </row>
    <row r="62" spans="1:12" s="284" customFormat="1" ht="15.75" customHeight="1">
      <c r="A62" s="264"/>
      <c r="B62" s="458"/>
      <c r="C62" s="265"/>
      <c r="D62" s="537"/>
      <c r="E62" s="265" t="s">
        <v>263</v>
      </c>
      <c r="F62" s="265" t="s">
        <v>264</v>
      </c>
      <c r="G62" s="265"/>
      <c r="H62" s="265"/>
      <c r="I62" s="398"/>
      <c r="J62" s="399"/>
      <c r="K62" s="265"/>
      <c r="L62" s="400"/>
    </row>
    <row r="63" spans="1:12" s="284" customFormat="1" ht="15.75" customHeight="1">
      <c r="A63" s="264"/>
      <c r="B63" s="265"/>
      <c r="C63" s="265"/>
      <c r="D63" s="537"/>
      <c r="E63" s="265" t="s">
        <v>265</v>
      </c>
      <c r="F63" s="265" t="s">
        <v>266</v>
      </c>
      <c r="G63" s="265"/>
      <c r="H63" s="265"/>
      <c r="I63" s="398"/>
      <c r="J63" s="399"/>
      <c r="K63" s="265"/>
      <c r="L63" s="400"/>
    </row>
    <row r="64" spans="1:12" s="284" customFormat="1" ht="15.75" customHeight="1">
      <c r="A64" s="264"/>
      <c r="B64" s="265"/>
      <c r="C64" s="265"/>
      <c r="D64" s="537"/>
      <c r="E64" s="265" t="s">
        <v>267</v>
      </c>
      <c r="F64" s="265" t="s">
        <v>268</v>
      </c>
      <c r="G64" s="265"/>
      <c r="H64" s="265"/>
      <c r="I64" s="398"/>
      <c r="J64" s="399"/>
      <c r="K64" s="265"/>
      <c r="L64" s="400"/>
    </row>
    <row r="65" spans="1:12" s="284" customFormat="1" ht="15.75" customHeight="1">
      <c r="A65" s="264"/>
      <c r="B65" s="265"/>
      <c r="C65" s="265"/>
      <c r="D65" s="415"/>
      <c r="E65" s="265" t="s">
        <v>269</v>
      </c>
      <c r="F65" s="265" t="s">
        <v>270</v>
      </c>
      <c r="G65" s="265"/>
      <c r="H65" s="265"/>
      <c r="I65" s="398"/>
      <c r="J65" s="399"/>
      <c r="K65" s="265"/>
      <c r="L65" s="400"/>
    </row>
    <row r="66" spans="1:12" s="284" customFormat="1" ht="15.75" customHeight="1">
      <c r="A66" s="264"/>
      <c r="B66" s="265"/>
      <c r="C66" s="265"/>
      <c r="D66" s="415"/>
      <c r="E66" s="265" t="s">
        <v>271</v>
      </c>
      <c r="F66" s="265" t="s">
        <v>272</v>
      </c>
      <c r="G66" s="265"/>
      <c r="H66" s="265"/>
      <c r="I66" s="398"/>
      <c r="J66" s="399"/>
      <c r="K66" s="265"/>
      <c r="L66" s="400"/>
    </row>
    <row r="67" spans="1:12" s="284" customFormat="1" ht="15.75" customHeight="1">
      <c r="A67" s="264"/>
      <c r="B67" s="265"/>
      <c r="C67" s="265"/>
      <c r="D67" s="415"/>
      <c r="E67" s="265" t="s">
        <v>273</v>
      </c>
      <c r="F67" s="265" t="s">
        <v>274</v>
      </c>
      <c r="G67" s="265"/>
      <c r="H67" s="265"/>
      <c r="I67" s="398"/>
      <c r="J67" s="399"/>
      <c r="K67" s="265"/>
      <c r="L67" s="400"/>
    </row>
    <row r="68" spans="1:12" s="284" customFormat="1" ht="15.75" customHeight="1">
      <c r="A68" s="264"/>
      <c r="B68" s="265"/>
      <c r="C68" s="265"/>
      <c r="D68" s="415"/>
      <c r="E68" s="265" t="s">
        <v>275</v>
      </c>
      <c r="F68" s="265" t="s">
        <v>276</v>
      </c>
      <c r="G68" s="265"/>
      <c r="H68" s="265"/>
      <c r="I68" s="398"/>
      <c r="J68" s="399"/>
      <c r="K68" s="265"/>
      <c r="L68" s="400"/>
    </row>
    <row r="69" spans="1:12" s="284" customFormat="1" ht="15.75" customHeight="1">
      <c r="A69" s="264"/>
      <c r="B69" s="265"/>
      <c r="C69" s="265"/>
      <c r="D69" s="415"/>
      <c r="E69" s="265" t="s">
        <v>277</v>
      </c>
      <c r="F69" s="265" t="s">
        <v>278</v>
      </c>
      <c r="G69" s="265"/>
      <c r="H69" s="265"/>
      <c r="I69" s="398"/>
      <c r="J69" s="399"/>
      <c r="K69" s="265"/>
      <c r="L69" s="400"/>
    </row>
    <row r="70" spans="1:12" s="284" customFormat="1" ht="15.75" customHeight="1">
      <c r="A70" s="264"/>
      <c r="B70" s="265"/>
      <c r="C70" s="265"/>
      <c r="D70" s="415"/>
      <c r="E70" s="265" t="s">
        <v>279</v>
      </c>
      <c r="F70" s="265" t="s">
        <v>280</v>
      </c>
      <c r="G70" s="265"/>
      <c r="H70" s="265"/>
      <c r="I70" s="398"/>
      <c r="J70" s="399"/>
      <c r="K70" s="265"/>
      <c r="L70" s="400"/>
    </row>
    <row r="71" spans="1:12" s="284" customFormat="1" ht="15.75" customHeight="1">
      <c r="A71" s="264"/>
      <c r="B71" s="265"/>
      <c r="C71" s="265"/>
      <c r="D71" s="415"/>
      <c r="E71" s="265" t="s">
        <v>281</v>
      </c>
      <c r="F71" s="265" t="s">
        <v>282</v>
      </c>
      <c r="G71" s="265"/>
      <c r="H71" s="265"/>
      <c r="I71" s="398"/>
      <c r="J71" s="399"/>
      <c r="K71" s="265"/>
      <c r="L71" s="400"/>
    </row>
    <row r="72" spans="1:12" s="284" customFormat="1" ht="15.75" customHeight="1">
      <c r="A72" s="264"/>
      <c r="B72" s="265"/>
      <c r="C72" s="265"/>
      <c r="D72" s="415"/>
      <c r="E72" s="265" t="s">
        <v>283</v>
      </c>
      <c r="F72" s="265" t="s">
        <v>282</v>
      </c>
      <c r="G72" s="265"/>
      <c r="H72" s="265"/>
      <c r="I72" s="398"/>
      <c r="J72" s="399"/>
      <c r="K72" s="265"/>
      <c r="L72" s="400"/>
    </row>
    <row r="73" spans="1:12" s="284" customFormat="1" ht="15.75" customHeight="1">
      <c r="A73" s="264"/>
      <c r="B73" s="265"/>
      <c r="C73" s="265"/>
      <c r="D73" s="415"/>
      <c r="E73" s="265" t="s">
        <v>284</v>
      </c>
      <c r="F73" s="265" t="s">
        <v>285</v>
      </c>
      <c r="G73" s="265"/>
      <c r="H73" s="265"/>
      <c r="I73" s="398"/>
      <c r="J73" s="399"/>
      <c r="K73" s="265"/>
      <c r="L73" s="400"/>
    </row>
    <row r="74" spans="1:12" s="284" customFormat="1" ht="15.75" customHeight="1">
      <c r="A74" s="264"/>
      <c r="B74" s="265"/>
      <c r="C74" s="265"/>
      <c r="D74" s="415"/>
      <c r="E74" s="265" t="s">
        <v>286</v>
      </c>
      <c r="F74" s="265" t="s">
        <v>285</v>
      </c>
      <c r="G74" s="265"/>
      <c r="H74" s="265"/>
      <c r="I74" s="398"/>
      <c r="J74" s="399"/>
      <c r="K74" s="265"/>
      <c r="L74" s="400"/>
    </row>
    <row r="75" spans="1:12" s="284" customFormat="1" ht="15.75" customHeight="1">
      <c r="A75" s="264"/>
      <c r="B75" s="265"/>
      <c r="C75" s="265"/>
      <c r="D75" s="415"/>
      <c r="E75" s="265" t="s">
        <v>287</v>
      </c>
      <c r="F75" s="265" t="s">
        <v>288</v>
      </c>
      <c r="G75" s="265"/>
      <c r="H75" s="265"/>
      <c r="I75" s="398"/>
      <c r="J75" s="399"/>
      <c r="K75" s="265"/>
      <c r="L75" s="400"/>
    </row>
    <row r="76" spans="1:12" s="284" customFormat="1" ht="15.75" customHeight="1">
      <c r="A76" s="264"/>
      <c r="B76" s="265"/>
      <c r="C76" s="265"/>
      <c r="D76" s="415"/>
      <c r="E76" s="265" t="s">
        <v>289</v>
      </c>
      <c r="F76" s="265" t="s">
        <v>290</v>
      </c>
      <c r="G76" s="265"/>
      <c r="H76" s="265"/>
      <c r="I76" s="398"/>
      <c r="J76" s="399"/>
      <c r="K76" s="265"/>
      <c r="L76" s="400"/>
    </row>
    <row r="77" spans="1:12" s="284" customFormat="1" ht="15.75" customHeight="1">
      <c r="A77" s="264"/>
      <c r="B77" s="265"/>
      <c r="C77" s="265"/>
      <c r="D77" s="415"/>
      <c r="E77" s="265" t="s">
        <v>291</v>
      </c>
      <c r="F77" s="265" t="s">
        <v>290</v>
      </c>
      <c r="G77" s="265"/>
      <c r="H77" s="265"/>
      <c r="I77" s="398"/>
      <c r="J77" s="399"/>
      <c r="K77" s="265"/>
      <c r="L77" s="400"/>
    </row>
    <row r="78" spans="1:12" s="284" customFormat="1" ht="15.75" customHeight="1">
      <c r="A78" s="264"/>
      <c r="B78" s="265"/>
      <c r="C78" s="265"/>
      <c r="D78" s="415"/>
      <c r="E78" s="265" t="s">
        <v>292</v>
      </c>
      <c r="F78" s="265" t="s">
        <v>290</v>
      </c>
      <c r="G78" s="265"/>
      <c r="H78" s="265"/>
      <c r="I78" s="398"/>
      <c r="J78" s="399"/>
      <c r="K78" s="265"/>
      <c r="L78" s="400"/>
    </row>
    <row r="79" spans="1:12" s="284" customFormat="1" ht="15.75" customHeight="1">
      <c r="A79" s="264"/>
      <c r="B79" s="265"/>
      <c r="C79" s="265"/>
      <c r="D79" s="415"/>
      <c r="E79" s="265" t="s">
        <v>293</v>
      </c>
      <c r="F79" s="265" t="s">
        <v>294</v>
      </c>
      <c r="G79" s="265"/>
      <c r="H79" s="265"/>
      <c r="I79" s="398"/>
      <c r="J79" s="399"/>
      <c r="K79" s="265"/>
      <c r="L79" s="400"/>
    </row>
    <row r="80" spans="1:12" s="284" customFormat="1" ht="15.75" customHeight="1">
      <c r="A80" s="264"/>
      <c r="B80" s="265"/>
      <c r="C80" s="265"/>
      <c r="D80" s="415"/>
      <c r="E80" s="265" t="s">
        <v>295</v>
      </c>
      <c r="F80" s="265" t="s">
        <v>296</v>
      </c>
      <c r="G80" s="265"/>
      <c r="H80" s="265"/>
      <c r="I80" s="398"/>
      <c r="J80" s="399"/>
      <c r="K80" s="265"/>
      <c r="L80" s="400"/>
    </row>
    <row r="81" spans="1:12" s="284" customFormat="1" ht="15.75" customHeight="1">
      <c r="A81" s="264"/>
      <c r="B81" s="265"/>
      <c r="C81" s="265"/>
      <c r="D81" s="415"/>
      <c r="E81" s="265" t="s">
        <v>297</v>
      </c>
      <c r="F81" s="265" t="s">
        <v>290</v>
      </c>
      <c r="G81" s="265"/>
      <c r="H81" s="265"/>
      <c r="I81" s="398"/>
      <c r="J81" s="399"/>
      <c r="K81" s="265"/>
      <c r="L81" s="400"/>
    </row>
    <row r="82" spans="1:12" s="284" customFormat="1" ht="15.75" customHeight="1">
      <c r="A82" s="264"/>
      <c r="B82" s="265"/>
      <c r="C82" s="265"/>
      <c r="D82" s="415"/>
      <c r="E82" s="265" t="s">
        <v>298</v>
      </c>
      <c r="F82" s="265" t="s">
        <v>290</v>
      </c>
      <c r="G82" s="265"/>
      <c r="H82" s="265"/>
      <c r="I82" s="398"/>
      <c r="J82" s="399"/>
      <c r="K82" s="265"/>
      <c r="L82" s="400"/>
    </row>
    <row r="83" spans="1:12" s="284" customFormat="1" ht="15.75" customHeight="1">
      <c r="A83" s="264"/>
      <c r="B83" s="265"/>
      <c r="C83" s="265"/>
      <c r="D83" s="415"/>
      <c r="E83" s="265" t="s">
        <v>299</v>
      </c>
      <c r="F83" s="265" t="s">
        <v>282</v>
      </c>
      <c r="G83" s="265"/>
      <c r="H83" s="265"/>
      <c r="I83" s="398"/>
      <c r="J83" s="399"/>
      <c r="K83" s="265"/>
      <c r="L83" s="400"/>
    </row>
    <row r="84" spans="1:12" s="284" customFormat="1" ht="15.75" customHeight="1">
      <c r="A84" s="264"/>
      <c r="B84" s="265"/>
      <c r="C84" s="265"/>
      <c r="D84" s="415"/>
      <c r="E84" s="265" t="s">
        <v>300</v>
      </c>
      <c r="F84" s="265" t="s">
        <v>301</v>
      </c>
      <c r="G84" s="265"/>
      <c r="H84" s="265"/>
      <c r="I84" s="398"/>
      <c r="J84" s="399"/>
      <c r="K84" s="265"/>
      <c r="L84" s="400"/>
    </row>
    <row r="85" spans="1:12" s="284" customFormat="1" ht="15.75" customHeight="1">
      <c r="A85" s="264"/>
      <c r="B85" s="265"/>
      <c r="C85" s="265"/>
      <c r="D85" s="415"/>
      <c r="E85" s="265" t="s">
        <v>302</v>
      </c>
      <c r="F85" s="265" t="s">
        <v>290</v>
      </c>
      <c r="G85" s="265"/>
      <c r="H85" s="265"/>
      <c r="I85" s="398"/>
      <c r="J85" s="399"/>
      <c r="K85" s="265"/>
      <c r="L85" s="400"/>
    </row>
    <row r="86" spans="1:12" s="284" customFormat="1" ht="15.75" customHeight="1">
      <c r="A86" s="264"/>
      <c r="B86" s="265"/>
      <c r="C86" s="265"/>
      <c r="D86" s="415"/>
      <c r="E86" s="265" t="s">
        <v>236</v>
      </c>
      <c r="F86" s="265" t="s">
        <v>290</v>
      </c>
      <c r="G86" s="265"/>
      <c r="H86" s="265"/>
      <c r="I86" s="398"/>
      <c r="J86" s="399"/>
      <c r="K86" s="265"/>
      <c r="L86" s="400"/>
    </row>
    <row r="87" spans="1:12" s="284" customFormat="1" ht="15.75" customHeight="1">
      <c r="A87" s="264"/>
      <c r="B87" s="265"/>
      <c r="C87" s="265"/>
      <c r="D87" s="415"/>
      <c r="E87" s="265" t="s">
        <v>303</v>
      </c>
      <c r="F87" s="265" t="s">
        <v>290</v>
      </c>
      <c r="G87" s="265"/>
      <c r="H87" s="265"/>
      <c r="I87" s="398"/>
      <c r="J87" s="399"/>
      <c r="K87" s="265"/>
      <c r="L87" s="400"/>
    </row>
    <row r="88" spans="1:12" s="284" customFormat="1" ht="15.75" customHeight="1">
      <c r="A88" s="264"/>
      <c r="B88" s="265"/>
      <c r="C88" s="265"/>
      <c r="D88" s="415"/>
      <c r="E88" s="265" t="s">
        <v>304</v>
      </c>
      <c r="F88" s="265" t="s">
        <v>290</v>
      </c>
      <c r="G88" s="265"/>
      <c r="H88" s="265"/>
      <c r="I88" s="398"/>
      <c r="J88" s="399"/>
      <c r="K88" s="265"/>
      <c r="L88" s="400"/>
    </row>
    <row r="89" spans="1:12" s="284" customFormat="1" ht="15.75" customHeight="1">
      <c r="A89" s="264"/>
      <c r="B89" s="265"/>
      <c r="C89" s="265"/>
      <c r="D89" s="415"/>
      <c r="E89" s="265" t="s">
        <v>305</v>
      </c>
      <c r="F89" s="265" t="s">
        <v>288</v>
      </c>
      <c r="G89" s="265"/>
      <c r="H89" s="265"/>
      <c r="I89" s="398"/>
      <c r="J89" s="399"/>
      <c r="K89" s="265"/>
      <c r="L89" s="400"/>
    </row>
    <row r="90" spans="1:12" s="284" customFormat="1" ht="15.75" customHeight="1">
      <c r="A90" s="264"/>
      <c r="B90" s="265"/>
      <c r="C90" s="265"/>
      <c r="D90" s="415"/>
      <c r="E90" s="265" t="s">
        <v>306</v>
      </c>
      <c r="F90" s="265" t="s">
        <v>288</v>
      </c>
      <c r="G90" s="265"/>
      <c r="H90" s="265"/>
      <c r="I90" s="398"/>
      <c r="J90" s="399"/>
      <c r="K90" s="265"/>
      <c r="L90" s="400"/>
    </row>
    <row r="91" spans="1:12" s="284" customFormat="1" ht="15.75" customHeight="1">
      <c r="A91" s="264"/>
      <c r="B91" s="265"/>
      <c r="C91" s="265"/>
      <c r="D91" s="415"/>
      <c r="E91" s="265" t="s">
        <v>307</v>
      </c>
      <c r="F91" s="265" t="s">
        <v>290</v>
      </c>
      <c r="G91" s="265"/>
      <c r="H91" s="265"/>
      <c r="I91" s="398"/>
      <c r="J91" s="399"/>
      <c r="K91" s="265"/>
      <c r="L91" s="400"/>
    </row>
    <row r="92" spans="1:12" s="284" customFormat="1" ht="15.75" customHeight="1">
      <c r="A92" s="264"/>
      <c r="B92" s="265"/>
      <c r="C92" s="265"/>
      <c r="D92" s="415"/>
      <c r="E92" s="265" t="s">
        <v>308</v>
      </c>
      <c r="F92" s="265" t="s">
        <v>290</v>
      </c>
      <c r="G92" s="265"/>
      <c r="H92" s="265"/>
      <c r="I92" s="398"/>
      <c r="J92" s="399"/>
      <c r="K92" s="265"/>
      <c r="L92" s="400"/>
    </row>
    <row r="93" spans="1:12" s="284" customFormat="1" ht="15.75" customHeight="1">
      <c r="A93" s="264"/>
      <c r="B93" s="265"/>
      <c r="C93" s="265"/>
      <c r="D93" s="415"/>
      <c r="E93" s="265" t="s">
        <v>309</v>
      </c>
      <c r="F93" s="265" t="s">
        <v>310</v>
      </c>
      <c r="G93" s="265"/>
      <c r="H93" s="265"/>
      <c r="I93" s="398"/>
      <c r="J93" s="399"/>
      <c r="K93" s="265"/>
      <c r="L93" s="400"/>
    </row>
    <row r="94" spans="1:12" s="284" customFormat="1" ht="15.75" customHeight="1">
      <c r="A94" s="264"/>
      <c r="B94" s="265"/>
      <c r="C94" s="265"/>
      <c r="D94" s="265"/>
      <c r="E94" s="265"/>
      <c r="F94" s="265"/>
      <c r="G94" s="265"/>
      <c r="H94" s="265"/>
      <c r="I94" s="398"/>
      <c r="J94" s="399"/>
      <c r="K94" s="265"/>
      <c r="L94" s="400"/>
    </row>
    <row r="95" spans="1:12" ht="14.25" customHeight="1">
      <c r="A95" s="401" t="s">
        <v>23</v>
      </c>
      <c r="B95" s="401"/>
      <c r="C95" s="401"/>
      <c r="D95" s="401"/>
      <c r="E95" s="401"/>
      <c r="F95" s="394"/>
      <c r="G95" s="394"/>
      <c r="H95" s="394"/>
      <c r="I95" s="395"/>
      <c r="J95" s="402"/>
      <c r="K95" s="403"/>
      <c r="L95" s="403"/>
    </row>
    <row r="96" spans="1:12" ht="14.25" customHeight="1">
      <c r="A96" s="306">
        <v>1</v>
      </c>
      <c r="B96" s="220" t="s">
        <v>315</v>
      </c>
      <c r="C96" s="220"/>
      <c r="D96" s="220"/>
      <c r="E96" s="220"/>
      <c r="J96" s="247">
        <v>2</v>
      </c>
      <c r="K96" s="223">
        <v>800000</v>
      </c>
      <c r="L96" s="223">
        <f t="shared" ref="L96:L98" si="0">J96*K96</f>
        <v>1600000</v>
      </c>
    </row>
    <row r="97" spans="1:12" ht="14.25" customHeight="1">
      <c r="A97" s="306">
        <v>2</v>
      </c>
      <c r="B97" s="220" t="s">
        <v>316</v>
      </c>
      <c r="C97" s="220"/>
      <c r="D97" s="220"/>
      <c r="E97" s="220"/>
      <c r="J97" s="247">
        <v>2</v>
      </c>
      <c r="K97" s="223">
        <v>150000</v>
      </c>
      <c r="L97" s="223">
        <f t="shared" si="0"/>
        <v>300000</v>
      </c>
    </row>
    <row r="98" spans="1:12" ht="14.25" customHeight="1">
      <c r="A98" s="306">
        <v>3</v>
      </c>
      <c r="B98" s="220" t="s">
        <v>104</v>
      </c>
      <c r="C98" s="220"/>
      <c r="D98" s="220"/>
      <c r="E98" s="220"/>
      <c r="J98" s="247">
        <v>2</v>
      </c>
      <c r="K98" s="223">
        <v>100000</v>
      </c>
      <c r="L98" s="223">
        <f t="shared" si="0"/>
        <v>200000</v>
      </c>
    </row>
    <row r="99" spans="1:12" ht="14.25" customHeight="1">
      <c r="A99" s="306"/>
      <c r="B99" s="220"/>
      <c r="C99" s="220"/>
      <c r="D99" s="220"/>
      <c r="E99" s="220"/>
      <c r="I99" s="388"/>
      <c r="J99" s="247"/>
      <c r="K99" s="223"/>
      <c r="L99" s="223"/>
    </row>
    <row r="100" spans="1:12" ht="14.25" customHeight="1">
      <c r="A100" s="392" t="s">
        <v>317</v>
      </c>
      <c r="B100" s="393"/>
      <c r="C100" s="393"/>
      <c r="D100" s="393"/>
      <c r="E100" s="393"/>
      <c r="F100" s="394"/>
      <c r="G100" s="394"/>
      <c r="H100" s="394"/>
      <c r="I100" s="395"/>
      <c r="J100" s="396"/>
      <c r="K100" s="397"/>
      <c r="L100" s="397"/>
    </row>
    <row r="101" spans="1:12" ht="14.25" customHeight="1">
      <c r="A101" s="306">
        <v>1</v>
      </c>
      <c r="B101" s="220" t="s">
        <v>320</v>
      </c>
      <c r="C101" s="220"/>
      <c r="D101" s="220"/>
      <c r="E101" s="220"/>
      <c r="I101" s="388"/>
      <c r="J101" s="247">
        <v>2</v>
      </c>
      <c r="K101" s="223">
        <v>3000000</v>
      </c>
      <c r="L101" s="223">
        <f>J101*K101</f>
        <v>6000000</v>
      </c>
    </row>
    <row r="102" spans="1:12" ht="14.25" customHeight="1">
      <c r="A102" s="220"/>
      <c r="B102" s="220"/>
      <c r="C102" s="220"/>
      <c r="D102" s="220"/>
      <c r="E102" s="220"/>
      <c r="J102" s="247"/>
      <c r="K102" s="223"/>
      <c r="L102" s="223"/>
    </row>
    <row r="103" spans="1:12" ht="2.25" customHeight="1" thickBot="1">
      <c r="A103" s="224"/>
      <c r="B103" s="225"/>
      <c r="C103" s="225"/>
      <c r="D103" s="226"/>
      <c r="E103" s="226"/>
      <c r="F103" s="227"/>
      <c r="G103" s="227"/>
      <c r="H103" s="227"/>
      <c r="I103" s="228"/>
      <c r="J103" s="228"/>
      <c r="K103" s="229"/>
      <c r="L103" s="262"/>
    </row>
    <row r="104" spans="1:12" ht="18">
      <c r="A104" s="263" t="s">
        <v>106</v>
      </c>
      <c r="E104" s="222"/>
      <c r="F104" s="222"/>
      <c r="G104" s="222"/>
      <c r="H104" s="222"/>
      <c r="J104" s="230"/>
      <c r="K104" s="231" t="s">
        <v>151</v>
      </c>
      <c r="L104" s="232">
        <f>SUM(L36:L102)</f>
        <v>23700000</v>
      </c>
    </row>
    <row r="105" spans="1:12">
      <c r="B105" s="233" t="s">
        <v>153</v>
      </c>
      <c r="C105" s="233"/>
      <c r="J105" s="234"/>
      <c r="K105" s="235"/>
      <c r="L105" s="236"/>
    </row>
    <row r="106" spans="1:12">
      <c r="B106" s="237" t="s">
        <v>48</v>
      </c>
      <c r="C106" s="237"/>
      <c r="J106" s="234"/>
      <c r="K106" s="238" t="s">
        <v>30</v>
      </c>
      <c r="L106" s="239">
        <f>(L104-L105)*11%</f>
        <v>2607000</v>
      </c>
    </row>
    <row r="107" spans="1:12" ht="20.25" customHeight="1">
      <c r="A107" s="240"/>
      <c r="B107" s="241" t="s">
        <v>4</v>
      </c>
      <c r="C107" s="241"/>
      <c r="D107" s="242"/>
      <c r="E107" s="240"/>
      <c r="F107" s="240"/>
      <c r="G107" s="240"/>
      <c r="H107" s="240"/>
      <c r="I107" s="243"/>
      <c r="J107" s="244"/>
      <c r="K107" s="414" t="s">
        <v>31</v>
      </c>
      <c r="L107" s="245">
        <f>(L104-L105)+L106</f>
        <v>26307000</v>
      </c>
    </row>
    <row r="108" spans="1:12">
      <c r="B108" s="289"/>
      <c r="C108" s="289"/>
      <c r="D108" s="289"/>
      <c r="E108" s="289"/>
      <c r="F108" s="266"/>
      <c r="G108" s="266"/>
      <c r="H108" s="266"/>
    </row>
    <row r="109" spans="1:12" s="290" customFormat="1">
      <c r="A109" s="273" t="s">
        <v>107</v>
      </c>
      <c r="E109" s="273" t="s">
        <v>108</v>
      </c>
      <c r="I109" s="291" t="s">
        <v>109</v>
      </c>
      <c r="J109" s="283"/>
    </row>
    <row r="110" spans="1:12">
      <c r="A110" s="457" t="str">
        <f>'1 Customer Information'!$B$18</f>
        <v>PT CONTOH</v>
      </c>
      <c r="B110" s="457"/>
      <c r="C110" s="457"/>
      <c r="D110" s="457"/>
      <c r="E110" s="457" t="str">
        <f>'1 Customer Information'!$B$25</f>
        <v>PT CONTOH</v>
      </c>
      <c r="F110" s="457"/>
      <c r="G110" s="372"/>
      <c r="H110" s="372"/>
      <c r="I110" s="454" t="str">
        <f>"1) "&amp;'1 Customer Information'!B32</f>
        <v>1) lia@medialab.co.id</v>
      </c>
      <c r="J110" s="454"/>
      <c r="K110" s="454"/>
      <c r="L110" s="454"/>
    </row>
    <row r="111" spans="1:12">
      <c r="A111" s="483" t="str">
        <f>'1 Customer Information'!$B$19</f>
        <v>Jl. Jatiwangi No 44 kamurang</v>
      </c>
      <c r="B111" s="483"/>
      <c r="C111" s="483"/>
      <c r="D111" s="483"/>
      <c r="E111" s="483" t="str">
        <f>'1 Customer Information'!$B$26</f>
        <v>Jl. Jatiwangi No 44 kamurang</v>
      </c>
      <c r="F111" s="483"/>
      <c r="G111" s="375"/>
      <c r="H111" s="375"/>
      <c r="I111" s="454" t="str">
        <f>"2) "&amp;'1 Customer Information'!B33</f>
        <v xml:space="preserve">2) </v>
      </c>
      <c r="J111" s="454"/>
      <c r="K111" s="454"/>
      <c r="L111" s="454"/>
    </row>
    <row r="112" spans="1:12">
      <c r="A112" s="482" t="str">
        <f>+'1 Customer Information'!B20</f>
        <v>Kec. Cikarang Barat, Kab. Bekasi</v>
      </c>
      <c r="B112" s="482"/>
      <c r="C112" s="482"/>
      <c r="D112" s="482"/>
      <c r="E112" s="482" t="str">
        <f>+'1 Customer Information'!B27</f>
        <v>Kec. Cikarang Barat, Kab. Bekasi</v>
      </c>
      <c r="F112" s="482"/>
      <c r="G112" s="376"/>
      <c r="H112" s="376"/>
      <c r="I112" s="454" t="str">
        <f>"3) "&amp;'1 Customer Information'!B34</f>
        <v xml:space="preserve">3) </v>
      </c>
      <c r="J112" s="454"/>
      <c r="K112" s="454"/>
      <c r="L112" s="454"/>
    </row>
    <row r="113" spans="1:14">
      <c r="A113" s="292" t="str">
        <f>"CP. "&amp;'1 Customer Information'!$B$21</f>
        <v>CP. Ibu Lia</v>
      </c>
      <c r="B113" s="293"/>
      <c r="C113" s="293"/>
      <c r="D113" s="294" t="str">
        <f>"Ph. "&amp;'1 Customer Information'!$B$22</f>
        <v>Ph. 082310833657</v>
      </c>
      <c r="E113" s="292" t="str">
        <f>"CP. "&amp;'1 Customer Information'!$B$28</f>
        <v>CP. Ibu Lia</v>
      </c>
      <c r="F113" s="294" t="str">
        <f>"Ph. "&amp;'1 Customer Information'!$B$29</f>
        <v>Ph. 082310833657</v>
      </c>
      <c r="G113" s="294"/>
      <c r="H113" s="294"/>
      <c r="I113" s="454" t="str">
        <f>"4) "&amp;'1 Customer Information'!B35</f>
        <v xml:space="preserve">4) </v>
      </c>
      <c r="J113" s="454"/>
      <c r="K113" s="454"/>
      <c r="L113" s="454"/>
    </row>
    <row r="114" spans="1:14" ht="7.5" customHeight="1">
      <c r="E114" s="295"/>
      <c r="F114" s="296"/>
      <c r="G114" s="295"/>
      <c r="H114" s="295"/>
      <c r="K114" s="480"/>
      <c r="L114" s="481"/>
    </row>
    <row r="115" spans="1:14" ht="13.5" customHeight="1">
      <c r="A115" s="297" t="s">
        <v>135</v>
      </c>
      <c r="J115" s="230"/>
    </row>
    <row r="116" spans="1:14" s="299" customFormat="1" ht="13.5">
      <c r="A116" s="298">
        <v>1</v>
      </c>
      <c r="B116" s="475" t="s">
        <v>110</v>
      </c>
      <c r="C116" s="475"/>
      <c r="D116" s="475"/>
      <c r="E116" s="475"/>
      <c r="F116" s="475"/>
      <c r="G116" s="475"/>
      <c r="H116" s="475"/>
      <c r="I116" s="475"/>
      <c r="J116" s="475"/>
      <c r="K116" s="475"/>
      <c r="L116" s="475"/>
    </row>
    <row r="117" spans="1:14" s="299" customFormat="1" ht="13.5">
      <c r="A117" s="298">
        <v>2</v>
      </c>
      <c r="B117" s="475" t="s">
        <v>32</v>
      </c>
      <c r="C117" s="475"/>
      <c r="D117" s="475"/>
      <c r="E117" s="475"/>
      <c r="F117" s="475"/>
      <c r="G117" s="475"/>
      <c r="H117" s="475"/>
      <c r="I117" s="475"/>
      <c r="J117" s="475"/>
      <c r="K117" s="475"/>
      <c r="L117" s="475"/>
    </row>
    <row r="118" spans="1:14" s="299" customFormat="1" ht="27.75" customHeight="1">
      <c r="A118" s="298">
        <v>3</v>
      </c>
      <c r="B118" s="475" t="s">
        <v>160</v>
      </c>
      <c r="C118" s="475"/>
      <c r="D118" s="475"/>
      <c r="E118" s="475"/>
      <c r="F118" s="475"/>
      <c r="G118" s="475"/>
      <c r="H118" s="475"/>
      <c r="I118" s="475"/>
      <c r="J118" s="475"/>
      <c r="K118" s="475"/>
      <c r="L118" s="475"/>
    </row>
    <row r="119" spans="1:14" s="299" customFormat="1" ht="13.5">
      <c r="A119" s="298">
        <v>4</v>
      </c>
      <c r="B119" s="475" t="s">
        <v>121</v>
      </c>
      <c r="C119" s="475"/>
      <c r="D119" s="475"/>
      <c r="E119" s="475"/>
      <c r="F119" s="475"/>
      <c r="G119" s="475"/>
      <c r="H119" s="475"/>
      <c r="I119" s="475"/>
      <c r="J119" s="475"/>
      <c r="K119" s="475"/>
      <c r="L119" s="475"/>
    </row>
    <row r="120" spans="1:14" s="299" customFormat="1" ht="13.5">
      <c r="A120" s="298">
        <v>5</v>
      </c>
      <c r="B120" s="475" t="s">
        <v>161</v>
      </c>
      <c r="C120" s="475"/>
      <c r="D120" s="475"/>
      <c r="E120" s="475"/>
      <c r="F120" s="475"/>
      <c r="G120" s="475"/>
      <c r="H120" s="475"/>
      <c r="I120" s="475"/>
      <c r="J120" s="475"/>
      <c r="K120" s="475"/>
      <c r="L120" s="475"/>
    </row>
    <row r="121" spans="1:14" s="299" customFormat="1" ht="24" customHeight="1">
      <c r="A121" s="298">
        <v>6</v>
      </c>
      <c r="B121" s="475" t="s">
        <v>111</v>
      </c>
      <c r="C121" s="475"/>
      <c r="D121" s="475"/>
      <c r="E121" s="475"/>
      <c r="F121" s="475"/>
      <c r="G121" s="475"/>
      <c r="H121" s="475"/>
      <c r="I121" s="475"/>
      <c r="J121" s="475"/>
      <c r="K121" s="475"/>
      <c r="L121" s="475"/>
    </row>
    <row r="122" spans="1:14" s="299" customFormat="1" ht="13.5">
      <c r="A122" s="298">
        <v>7</v>
      </c>
      <c r="B122" s="475" t="s">
        <v>112</v>
      </c>
      <c r="C122" s="475"/>
      <c r="D122" s="475"/>
      <c r="E122" s="475"/>
      <c r="F122" s="475"/>
      <c r="G122" s="475"/>
      <c r="H122" s="475"/>
      <c r="I122" s="475"/>
      <c r="J122" s="475"/>
      <c r="K122" s="475"/>
      <c r="L122" s="475"/>
    </row>
    <row r="123" spans="1:14" s="299" customFormat="1" ht="13.5">
      <c r="A123" s="298">
        <v>8</v>
      </c>
      <c r="B123" s="475" t="s">
        <v>162</v>
      </c>
      <c r="C123" s="475"/>
      <c r="D123" s="475"/>
      <c r="E123" s="475"/>
      <c r="F123" s="475"/>
      <c r="G123" s="475"/>
      <c r="H123" s="475"/>
      <c r="I123" s="475"/>
      <c r="J123" s="475"/>
      <c r="K123" s="475"/>
      <c r="L123" s="475"/>
    </row>
    <row r="124" spans="1:14" s="299" customFormat="1" ht="13.5">
      <c r="A124" s="298">
        <v>9</v>
      </c>
      <c r="B124" s="475" t="s">
        <v>163</v>
      </c>
      <c r="C124" s="475"/>
      <c r="D124" s="475"/>
      <c r="E124" s="475"/>
      <c r="F124" s="475"/>
      <c r="G124" s="475"/>
      <c r="H124" s="475"/>
      <c r="I124" s="475"/>
      <c r="J124" s="475"/>
      <c r="K124" s="475"/>
      <c r="L124" s="475"/>
    </row>
    <row r="125" spans="1:14" ht="7.5" customHeight="1"/>
    <row r="126" spans="1:14" ht="18">
      <c r="A126" s="300"/>
      <c r="B126" s="465" t="s">
        <v>113</v>
      </c>
      <c r="C126" s="465"/>
      <c r="E126" s="222" t="s">
        <v>114</v>
      </c>
      <c r="F126" s="222"/>
      <c r="G126" s="222"/>
      <c r="H126" s="222"/>
      <c r="J126" s="301"/>
      <c r="K126" s="470" t="s">
        <v>164</v>
      </c>
      <c r="L126" s="470"/>
    </row>
    <row r="127" spans="1:14">
      <c r="A127" s="300"/>
      <c r="B127" s="466" t="s">
        <v>214</v>
      </c>
      <c r="C127" s="466"/>
      <c r="D127" s="300"/>
      <c r="E127" s="222" t="s">
        <v>212</v>
      </c>
      <c r="F127" s="222"/>
      <c r="G127" s="222"/>
      <c r="H127" s="222"/>
      <c r="J127" s="301"/>
      <c r="K127" s="465" t="s">
        <v>136</v>
      </c>
      <c r="L127" s="465"/>
    </row>
    <row r="128" spans="1:14" ht="24" customHeight="1">
      <c r="K128" s="299"/>
      <c r="L128" s="299"/>
      <c r="N128" s="302"/>
    </row>
    <row r="129" spans="1:14" ht="15.75" customHeight="1">
      <c r="K129" s="299"/>
      <c r="L129" s="299"/>
      <c r="N129" s="302"/>
    </row>
    <row r="130" spans="1:14">
      <c r="B130" s="462" t="s">
        <v>211</v>
      </c>
      <c r="C130" s="462"/>
      <c r="E130" s="303" t="s">
        <v>213</v>
      </c>
      <c r="F130" s="222"/>
      <c r="G130" s="222"/>
      <c r="H130" s="222"/>
      <c r="K130" s="304"/>
      <c r="L130" s="304"/>
      <c r="N130" s="302"/>
    </row>
    <row r="131" spans="1:14" s="220" customFormat="1" ht="12.75">
      <c r="B131" s="468"/>
      <c r="C131" s="468"/>
      <c r="D131" s="469"/>
      <c r="E131" s="305"/>
      <c r="F131" s="306"/>
      <c r="G131" s="306"/>
      <c r="H131" s="306"/>
      <c r="I131" s="306"/>
      <c r="J131" s="306"/>
      <c r="K131" s="220" t="s">
        <v>119</v>
      </c>
    </row>
    <row r="132" spans="1:14" ht="7.5" customHeight="1">
      <c r="A132" s="300"/>
      <c r="B132" s="300"/>
      <c r="C132" s="300"/>
      <c r="D132" s="300"/>
      <c r="E132" s="300"/>
      <c r="J132" s="301"/>
    </row>
    <row r="133" spans="1:14">
      <c r="A133" s="307" t="s">
        <v>125</v>
      </c>
      <c r="B133" s="308"/>
      <c r="C133" s="308"/>
      <c r="D133" s="308"/>
      <c r="E133" s="308"/>
      <c r="F133" s="308"/>
      <c r="G133" s="308"/>
      <c r="H133" s="308"/>
      <c r="I133" s="309"/>
      <c r="J133" s="309"/>
      <c r="K133" s="308"/>
      <c r="L133" s="308"/>
    </row>
    <row r="134" spans="1:14" hidden="1">
      <c r="A134" s="310"/>
      <c r="B134" s="308"/>
      <c r="C134" s="308"/>
      <c r="D134" s="308"/>
      <c r="E134" s="308"/>
      <c r="F134" s="308"/>
      <c r="G134" s="308"/>
      <c r="H134" s="308"/>
      <c r="I134" s="309"/>
      <c r="J134" s="309"/>
      <c r="K134" s="308"/>
      <c r="L134" s="308"/>
    </row>
    <row r="135" spans="1:14">
      <c r="C135" s="313"/>
      <c r="D135" s="314"/>
      <c r="E135" s="314"/>
      <c r="F135" s="313"/>
      <c r="G135" s="313"/>
      <c r="H135" s="313"/>
      <c r="I135" s="315"/>
      <c r="J135" s="299"/>
      <c r="K135" s="459" t="s">
        <v>156</v>
      </c>
      <c r="L135" s="459"/>
    </row>
    <row r="136" spans="1:14">
      <c r="A136" s="311"/>
      <c r="B136" s="312" t="s">
        <v>155</v>
      </c>
      <c r="C136" s="313"/>
      <c r="D136" s="314"/>
      <c r="E136" s="314"/>
      <c r="F136" s="317"/>
      <c r="G136" s="317"/>
      <c r="H136" s="317"/>
      <c r="I136" s="318" t="s">
        <v>158</v>
      </c>
      <c r="J136" s="319"/>
      <c r="K136" s="459"/>
      <c r="L136" s="459"/>
    </row>
    <row r="137" spans="1:14">
      <c r="A137" s="320"/>
      <c r="B137" s="316" t="s">
        <v>157</v>
      </c>
      <c r="C137" s="313"/>
      <c r="D137" s="314"/>
      <c r="E137" s="314"/>
      <c r="F137" s="460" t="s">
        <v>159</v>
      </c>
      <c r="G137" s="460"/>
      <c r="H137" s="460"/>
      <c r="I137" s="460"/>
      <c r="J137" s="321"/>
      <c r="K137" s="461" t="s">
        <v>129</v>
      </c>
      <c r="L137" s="461"/>
    </row>
    <row r="138" spans="1:14">
      <c r="A138" s="320"/>
      <c r="B138" s="316"/>
      <c r="C138" s="313"/>
      <c r="D138" s="314"/>
      <c r="E138" s="314"/>
      <c r="F138" s="460"/>
      <c r="G138" s="460"/>
      <c r="H138" s="460"/>
      <c r="I138" s="460"/>
      <c r="J138" s="322"/>
      <c r="K138" s="461"/>
      <c r="L138" s="461"/>
    </row>
    <row r="139" spans="1:14" ht="14.45" customHeight="1">
      <c r="A139" s="478" t="s">
        <v>165</v>
      </c>
      <c r="B139" s="478"/>
      <c r="K139" s="323"/>
    </row>
  </sheetData>
  <mergeCells count="49">
    <mergeCell ref="A139:B139"/>
    <mergeCell ref="A7:L7"/>
    <mergeCell ref="B123:L123"/>
    <mergeCell ref="B124:L124"/>
    <mergeCell ref="K114:L114"/>
    <mergeCell ref="E112:F112"/>
    <mergeCell ref="A112:D112"/>
    <mergeCell ref="E111:F111"/>
    <mergeCell ref="A111:D111"/>
    <mergeCell ref="B122:L122"/>
    <mergeCell ref="B116:L116"/>
    <mergeCell ref="B117:L117"/>
    <mergeCell ref="B118:L118"/>
    <mergeCell ref="B120:L120"/>
    <mergeCell ref="A11:D11"/>
    <mergeCell ref="E110:F110"/>
    <mergeCell ref="A18:L18"/>
    <mergeCell ref="B131:D131"/>
    <mergeCell ref="K126:L126"/>
    <mergeCell ref="E11:F11"/>
    <mergeCell ref="A12:D12"/>
    <mergeCell ref="A13:D13"/>
    <mergeCell ref="E12:F12"/>
    <mergeCell ref="E13:F13"/>
    <mergeCell ref="K14:L14"/>
    <mergeCell ref="K15:L15"/>
    <mergeCell ref="B119:L119"/>
    <mergeCell ref="B121:L121"/>
    <mergeCell ref="K127:L127"/>
    <mergeCell ref="I113:L113"/>
    <mergeCell ref="A15:D15"/>
    <mergeCell ref="E15:F15"/>
    <mergeCell ref="K135:L136"/>
    <mergeCell ref="F137:I138"/>
    <mergeCell ref="K137:L138"/>
    <mergeCell ref="B130:C130"/>
    <mergeCell ref="B36:B37"/>
    <mergeCell ref="B48:B50"/>
    <mergeCell ref="B51:B53"/>
    <mergeCell ref="B58:B60"/>
    <mergeCell ref="B126:C126"/>
    <mergeCell ref="B127:C127"/>
    <mergeCell ref="I110:L110"/>
    <mergeCell ref="I112:L112"/>
    <mergeCell ref="I111:L111"/>
    <mergeCell ref="D23:D24"/>
    <mergeCell ref="D28:D29"/>
    <mergeCell ref="A110:D110"/>
    <mergeCell ref="B61:B62"/>
  </mergeCells>
  <hyperlinks>
    <hyperlink ref="K137" r:id="rId1"/>
    <hyperlink ref="K135" r:id="rId2" display="www.medialab.co.id"/>
  </hyperlinks>
  <printOptions horizontalCentered="1"/>
  <pageMargins left="0.02" right="0.118110236220472" top="0.23622047244094499" bottom="0.196850393700787" header="0.118110236220472" footer="0.118110236220472"/>
  <pageSetup paperSize="9" scale="70" orientation="portrait" r:id="rId3"/>
  <headerFooter>
    <oddFooter>&amp;L&amp;"Calibri Light,Regular"&amp;9MI-FR-MKT-8.2-01.01; Rev.07;23 September 2024&amp;R&amp;"Calibri (light),Regular"&amp;9&amp;P of &amp;N</oddFooter>
  </headerFooter>
  <rowBreaks count="2" manualBreakCount="2">
    <brk id="60" max="11" man="1"/>
    <brk id="108" max="11" man="1"/>
  </row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0"/>
  <sheetViews>
    <sheetView showGridLines="0" view="pageBreakPreview" zoomScaleNormal="100" zoomScaleSheetLayoutView="100" workbookViewId="0">
      <selection activeCell="E16" sqref="E16"/>
    </sheetView>
  </sheetViews>
  <sheetFormatPr defaultColWidth="9.42578125" defaultRowHeight="15"/>
  <cols>
    <col min="1" max="1" width="4.42578125" style="4" customWidth="1"/>
    <col min="2" max="2" width="15.42578125" style="4" customWidth="1"/>
    <col min="3" max="3" width="24.5703125" style="4" customWidth="1"/>
    <col min="4" max="4" width="17" style="145" customWidth="1"/>
    <col min="5" max="5" width="25.42578125" style="4" customWidth="1"/>
    <col min="6" max="6" width="12.140625" style="4" customWidth="1"/>
    <col min="7" max="7" width="2.5703125" style="4" customWidth="1"/>
    <col min="8" max="8" width="10.42578125" style="4" customWidth="1"/>
    <col min="9" max="9" width="17.42578125" style="4" customWidth="1"/>
    <col min="10" max="10" width="14.28515625" style="4" customWidth="1"/>
    <col min="11" max="11" width="11.5703125" style="4" customWidth="1"/>
    <col min="12" max="12" width="13.140625" style="366" hidden="1" customWidth="1"/>
    <col min="13" max="13" width="9.42578125" style="4" customWidth="1"/>
    <col min="14" max="16384" width="9.42578125" style="4"/>
  </cols>
  <sheetData>
    <row r="1" spans="1:12" ht="15.75">
      <c r="A1" s="2"/>
      <c r="B1" s="2"/>
      <c r="C1" s="3"/>
      <c r="D1" s="5"/>
      <c r="E1" s="2"/>
      <c r="F1" s="2"/>
      <c r="G1" s="2"/>
      <c r="H1" s="2"/>
      <c r="I1" s="2"/>
      <c r="J1" s="2"/>
      <c r="L1" s="371" t="s">
        <v>205</v>
      </c>
    </row>
    <row r="2" spans="1:12" ht="27" customHeight="1">
      <c r="A2" s="2"/>
      <c r="B2" s="2"/>
      <c r="C2" s="484"/>
      <c r="D2" s="484"/>
      <c r="E2" s="484"/>
      <c r="F2" s="2"/>
      <c r="G2" s="2"/>
      <c r="H2" s="485" t="s">
        <v>35</v>
      </c>
      <c r="I2" s="485"/>
      <c r="J2" s="485"/>
      <c r="L2" s="366">
        <v>46023</v>
      </c>
    </row>
    <row r="3" spans="1:12">
      <c r="A3" s="2"/>
      <c r="B3" s="2"/>
      <c r="C3" s="5"/>
      <c r="D3" s="144"/>
      <c r="E3" s="6"/>
      <c r="F3" s="6"/>
      <c r="G3" s="6"/>
      <c r="H3" s="485"/>
      <c r="I3" s="485"/>
      <c r="J3" s="485"/>
      <c r="L3" s="366">
        <v>46024</v>
      </c>
    </row>
    <row r="4" spans="1:12" ht="31.35" customHeight="1">
      <c r="A4" s="6"/>
      <c r="B4" s="6"/>
      <c r="H4" s="485"/>
      <c r="I4" s="485"/>
      <c r="J4" s="485"/>
      <c r="L4" s="366">
        <v>46038</v>
      </c>
    </row>
    <row r="5" spans="1:12" ht="31.35" customHeight="1">
      <c r="A5" s="6"/>
      <c r="B5" s="6"/>
      <c r="C5" s="340"/>
      <c r="D5" s="144"/>
      <c r="E5" s="6"/>
      <c r="F5" s="6"/>
      <c r="G5" s="6"/>
      <c r="H5" s="6"/>
      <c r="I5" s="6"/>
      <c r="J5" s="27"/>
      <c r="K5" s="27"/>
      <c r="L5" s="366">
        <v>45705</v>
      </c>
    </row>
    <row r="6" spans="1:12" ht="15" customHeight="1">
      <c r="A6" s="335" t="s">
        <v>0</v>
      </c>
      <c r="B6" s="23"/>
      <c r="C6" s="500" t="str">
        <f>'1 Customer Information'!B2</f>
        <v>PT CONTOH</v>
      </c>
      <c r="D6" s="501"/>
      <c r="E6" s="360" t="s">
        <v>198</v>
      </c>
      <c r="F6" s="504" t="str">
        <f>'1 Customer Information'!B32&amp;"; "&amp;'1 Customer Information'!B33&amp;"; "&amp;'1 Customer Information'!B34&amp;"; "&amp;'1 Customer Information'!B35</f>
        <v xml:space="preserve">lia@medialab.co.id; ; ; </v>
      </c>
      <c r="G6" s="505"/>
      <c r="H6" s="505"/>
      <c r="I6" s="345" t="s">
        <v>166</v>
      </c>
      <c r="J6" s="494" t="str">
        <f>'2 Quotation'!J10</f>
        <v>DC.001.2401085</v>
      </c>
      <c r="K6" s="494"/>
      <c r="L6" s="367">
        <v>46100</v>
      </c>
    </row>
    <row r="7" spans="1:12" ht="15" customHeight="1">
      <c r="A7" s="336" t="s">
        <v>169</v>
      </c>
      <c r="B7" s="6"/>
      <c r="C7" s="497" t="str">
        <f>'1 Customer Information'!B3</f>
        <v>Jl. Jatiwangi No 44 kamurang</v>
      </c>
      <c r="D7" s="498"/>
      <c r="E7" s="198"/>
      <c r="F7" s="506"/>
      <c r="G7" s="507"/>
      <c r="H7" s="507"/>
      <c r="I7" s="346" t="s">
        <v>140</v>
      </c>
      <c r="J7" s="495" t="str">
        <f>'2 Quotation'!K13</f>
        <v>MI.QT.001.26030811.REV1</v>
      </c>
      <c r="K7" s="495"/>
      <c r="L7" s="367">
        <v>46101</v>
      </c>
    </row>
    <row r="8" spans="1:12" ht="15" customHeight="1">
      <c r="A8" s="24"/>
      <c r="B8" s="6"/>
      <c r="C8" s="497" t="str">
        <f>'1 Customer Information'!B4</f>
        <v>Kec. Cikarang Barat, Kab. Bekasi</v>
      </c>
      <c r="D8" s="498"/>
      <c r="E8" s="198"/>
      <c r="F8" s="506"/>
      <c r="G8" s="507"/>
      <c r="H8" s="507"/>
      <c r="I8" s="347" t="s">
        <v>195</v>
      </c>
      <c r="J8" s="496" t="s">
        <v>193</v>
      </c>
      <c r="K8" s="496"/>
      <c r="L8" s="367">
        <v>46102</v>
      </c>
    </row>
    <row r="9" spans="1:12">
      <c r="A9" s="336" t="s">
        <v>117</v>
      </c>
      <c r="B9" s="6"/>
      <c r="C9" s="502" t="str">
        <f>'1 Customer Information'!B18</f>
        <v>PT CONTOH</v>
      </c>
      <c r="D9" s="503"/>
      <c r="E9" s="199"/>
      <c r="F9" s="506"/>
      <c r="G9" s="507"/>
      <c r="H9" s="507"/>
      <c r="I9" s="347" t="s">
        <v>196</v>
      </c>
      <c r="J9" s="496" t="s">
        <v>194</v>
      </c>
      <c r="K9" s="496"/>
      <c r="L9" s="367">
        <v>46103</v>
      </c>
    </row>
    <row r="10" spans="1:12" ht="15" customHeight="1">
      <c r="A10" s="336" t="s">
        <v>170</v>
      </c>
      <c r="B10" s="6"/>
      <c r="C10" s="497" t="str">
        <f>'1 Customer Information'!B19</f>
        <v>Jl. Jatiwangi No 44 kamurang</v>
      </c>
      <c r="D10" s="498"/>
      <c r="E10" s="198"/>
      <c r="F10" s="506"/>
      <c r="G10" s="507"/>
      <c r="H10" s="508"/>
      <c r="I10" s="4" t="s">
        <v>197</v>
      </c>
      <c r="J10" s="493"/>
      <c r="K10" s="493"/>
      <c r="L10" s="367">
        <v>46104</v>
      </c>
    </row>
    <row r="11" spans="1:12" ht="15" customHeight="1">
      <c r="A11" s="24"/>
      <c r="B11" s="6"/>
      <c r="C11" s="497" t="str">
        <f>'1 Customer Information'!B20</f>
        <v>Kec. Cikarang Barat, Kab. Bekasi</v>
      </c>
      <c r="D11" s="498"/>
      <c r="E11" s="334" t="s">
        <v>168</v>
      </c>
      <c r="F11" s="259" t="s">
        <v>206</v>
      </c>
      <c r="G11" s="260"/>
      <c r="H11" s="197"/>
      <c r="I11" s="343"/>
      <c r="J11" s="493"/>
      <c r="K11" s="493"/>
      <c r="L11" s="367">
        <v>46105</v>
      </c>
    </row>
    <row r="12" spans="1:12" ht="15" customHeight="1">
      <c r="A12" s="332" t="s">
        <v>171</v>
      </c>
      <c r="C12" s="495" t="str">
        <f>'1 Customer Information'!B21</f>
        <v>Ibu Lia</v>
      </c>
      <c r="D12" s="499"/>
      <c r="E12" s="334" t="s">
        <v>167</v>
      </c>
      <c r="F12" s="362">
        <v>46027</v>
      </c>
      <c r="G12" s="363" t="s">
        <v>200</v>
      </c>
      <c r="H12" s="364">
        <v>46028</v>
      </c>
      <c r="I12" s="343"/>
      <c r="J12" s="493"/>
      <c r="K12" s="493"/>
      <c r="L12" s="368">
        <v>46115</v>
      </c>
    </row>
    <row r="13" spans="1:12" ht="15" customHeight="1">
      <c r="A13" s="337" t="s">
        <v>172</v>
      </c>
      <c r="B13" s="25"/>
      <c r="C13" s="489" t="str">
        <f>'1 Customer Information'!B22</f>
        <v>082310833657</v>
      </c>
      <c r="D13" s="490"/>
      <c r="E13" s="361" t="s">
        <v>199</v>
      </c>
      <c r="F13" s="509">
        <f>IF(AND(F11&lt;&gt;"",F11="Normal"),WORKDAY(H12,10,$L$2:$L$26),IF(AND(F11&lt;&gt;"",F11="Urgent"),WORKDAY(H12,7,$L$2:$L$26),IF(AND(F11&lt;&gt;"",F11="Very Urgent"),WORKDAY(H12,5,$L$2:$L$26),IF(AND(F11&lt;&gt;"",F11="Top Urgent"),WORKDAY(H12,3,$L$2:$L$26),""))))</f>
        <v>46031</v>
      </c>
      <c r="G13" s="509"/>
      <c r="H13" s="509"/>
      <c r="I13" s="344"/>
      <c r="J13" s="493"/>
      <c r="K13" s="493"/>
      <c r="L13" s="369">
        <v>46117</v>
      </c>
    </row>
    <row r="14" spans="1:12" ht="6" customHeight="1">
      <c r="A14" s="24"/>
      <c r="D14" s="257"/>
      <c r="L14" s="365">
        <v>46143</v>
      </c>
    </row>
    <row r="15" spans="1:12" s="137" customFormat="1" ht="41.25" customHeight="1">
      <c r="A15" s="200" t="s">
        <v>2</v>
      </c>
      <c r="B15" s="200" t="s">
        <v>173</v>
      </c>
      <c r="C15" s="202" t="s">
        <v>201</v>
      </c>
      <c r="D15" s="254" t="s">
        <v>202</v>
      </c>
      <c r="E15" s="201" t="s">
        <v>174</v>
      </c>
      <c r="F15" s="519" t="s">
        <v>100</v>
      </c>
      <c r="G15" s="519"/>
      <c r="H15" s="519"/>
      <c r="I15" s="333" t="s">
        <v>203</v>
      </c>
      <c r="J15" s="333" t="s">
        <v>204</v>
      </c>
      <c r="K15" s="333" t="s">
        <v>175</v>
      </c>
      <c r="L15" s="370">
        <v>46156</v>
      </c>
    </row>
    <row r="16" spans="1:12" ht="18" customHeight="1">
      <c r="A16" s="255">
        <f>COUNTA($A$15:A15)</f>
        <v>1</v>
      </c>
      <c r="B16" s="158"/>
      <c r="C16" s="209" t="s">
        <v>217</v>
      </c>
      <c r="D16" s="207" t="s">
        <v>218</v>
      </c>
      <c r="E16" s="209"/>
      <c r="F16" s="55"/>
      <c r="G16" s="55"/>
      <c r="H16" s="55"/>
      <c r="I16" s="349"/>
      <c r="J16" s="349"/>
      <c r="K16" s="353"/>
      <c r="L16" s="365">
        <v>46169</v>
      </c>
    </row>
    <row r="17" spans="1:12" ht="18" customHeight="1">
      <c r="A17" s="256">
        <f>COUNTA($A$15:A16)</f>
        <v>2</v>
      </c>
      <c r="B17" s="248"/>
      <c r="C17" s="203" t="s">
        <v>221</v>
      </c>
      <c r="D17" s="206"/>
      <c r="E17" s="204"/>
      <c r="F17" s="55"/>
      <c r="G17" s="55"/>
      <c r="H17" s="55"/>
      <c r="I17" s="203"/>
      <c r="J17" s="203"/>
      <c r="K17" s="352"/>
      <c r="L17" s="365">
        <v>46170</v>
      </c>
    </row>
    <row r="18" spans="1:12" ht="18" customHeight="1">
      <c r="A18" s="256">
        <f>COUNTA($A$15:A17)</f>
        <v>3</v>
      </c>
      <c r="B18" s="248"/>
      <c r="C18" s="203"/>
      <c r="D18" s="206"/>
      <c r="E18" s="204"/>
      <c r="F18" s="55"/>
      <c r="G18" s="55"/>
      <c r="H18" s="55"/>
      <c r="I18" s="203"/>
      <c r="J18" s="203"/>
      <c r="K18" s="352"/>
      <c r="L18" s="365">
        <v>46173</v>
      </c>
    </row>
    <row r="19" spans="1:12" ht="18" customHeight="1">
      <c r="A19" s="256">
        <f>COUNTA($A$15:A18)</f>
        <v>4</v>
      </c>
      <c r="B19" s="248"/>
      <c r="C19" s="203"/>
      <c r="D19" s="206"/>
      <c r="E19" s="204"/>
      <c r="F19" s="55"/>
      <c r="G19" s="55"/>
      <c r="H19" s="55"/>
      <c r="I19" s="203"/>
      <c r="J19" s="203"/>
      <c r="K19" s="352"/>
      <c r="L19" s="366">
        <v>46174</v>
      </c>
    </row>
    <row r="20" spans="1:12" ht="18" customHeight="1">
      <c r="A20" s="256">
        <f>COUNTA($A$15:A19)</f>
        <v>5</v>
      </c>
      <c r="B20" s="248"/>
      <c r="C20" s="203"/>
      <c r="D20" s="206"/>
      <c r="E20" s="204"/>
      <c r="F20" s="55"/>
      <c r="G20" s="55"/>
      <c r="H20" s="55"/>
      <c r="I20" s="203"/>
      <c r="J20" s="203"/>
      <c r="K20" s="352"/>
      <c r="L20" s="366">
        <v>46189</v>
      </c>
    </row>
    <row r="21" spans="1:12" ht="18" customHeight="1">
      <c r="A21" s="256">
        <f>COUNTA($A$15:A20)</f>
        <v>6</v>
      </c>
      <c r="B21" s="248"/>
      <c r="C21" s="203"/>
      <c r="D21" s="206"/>
      <c r="E21" s="204"/>
      <c r="F21" s="55"/>
      <c r="G21" s="55"/>
      <c r="H21" s="55"/>
      <c r="I21" s="203"/>
      <c r="J21" s="203"/>
      <c r="K21" s="352"/>
      <c r="L21" s="365">
        <v>46251</v>
      </c>
    </row>
    <row r="22" spans="1:12" ht="18" customHeight="1">
      <c r="A22" s="256">
        <f>COUNTA($A$15:A21)</f>
        <v>7</v>
      </c>
      <c r="B22" s="248"/>
      <c r="C22" s="203"/>
      <c r="D22" s="206"/>
      <c r="E22" s="204"/>
      <c r="F22" s="55"/>
      <c r="G22" s="55"/>
      <c r="H22" s="55"/>
      <c r="I22" s="203"/>
      <c r="J22" s="203"/>
      <c r="K22" s="352"/>
      <c r="L22" s="365">
        <v>46259</v>
      </c>
    </row>
    <row r="23" spans="1:12" ht="18" customHeight="1">
      <c r="A23" s="256">
        <f>COUNTA($A$15:A22)</f>
        <v>8</v>
      </c>
      <c r="B23" s="248"/>
      <c r="C23" s="203"/>
      <c r="D23" s="206"/>
      <c r="E23" s="204"/>
      <c r="F23" s="55"/>
      <c r="G23" s="55"/>
      <c r="H23" s="55"/>
      <c r="I23" s="203"/>
      <c r="J23" s="203"/>
      <c r="K23" s="352"/>
      <c r="L23" s="365">
        <v>46381</v>
      </c>
    </row>
    <row r="24" spans="1:12" ht="18" customHeight="1">
      <c r="A24" s="256">
        <f>COUNTA($A$15:A23)</f>
        <v>9</v>
      </c>
      <c r="B24" s="248"/>
      <c r="C24" s="203"/>
      <c r="D24" s="206"/>
      <c r="E24" s="204"/>
      <c r="F24" s="55"/>
      <c r="G24" s="55"/>
      <c r="H24" s="55"/>
      <c r="I24" s="203"/>
      <c r="J24" s="203"/>
      <c r="K24" s="352"/>
    </row>
    <row r="25" spans="1:12" ht="18" customHeight="1">
      <c r="A25" s="256">
        <f>COUNTA($A$15:A24)</f>
        <v>10</v>
      </c>
      <c r="B25" s="248"/>
      <c r="C25" s="203"/>
      <c r="D25" s="206" t="s">
        <v>238</v>
      </c>
      <c r="E25" s="204"/>
      <c r="F25" s="55"/>
      <c r="G25" s="55"/>
      <c r="H25" s="55"/>
      <c r="I25" s="203"/>
      <c r="J25" s="203"/>
      <c r="K25" s="352"/>
    </row>
    <row r="26" spans="1:12" ht="18" customHeight="1">
      <c r="A26" s="256">
        <f>COUNTA($A$15:A25)</f>
        <v>11</v>
      </c>
      <c r="B26" s="248"/>
      <c r="C26" s="203"/>
      <c r="D26" s="206"/>
      <c r="E26" s="204"/>
      <c r="F26" s="55"/>
      <c r="G26" s="55"/>
      <c r="H26" s="55"/>
      <c r="I26" s="203"/>
      <c r="J26" s="203"/>
      <c r="K26" s="352"/>
    </row>
    <row r="27" spans="1:12" ht="18" customHeight="1">
      <c r="A27" s="256">
        <f>COUNTA($A$15:A26)</f>
        <v>12</v>
      </c>
      <c r="B27" s="248"/>
      <c r="C27" s="203"/>
      <c r="D27" s="206"/>
      <c r="E27" s="204"/>
      <c r="F27" s="55"/>
      <c r="G27" s="55"/>
      <c r="H27" s="55"/>
      <c r="I27" s="203"/>
      <c r="J27" s="203"/>
      <c r="K27" s="352"/>
    </row>
    <row r="28" spans="1:12" ht="18" customHeight="1">
      <c r="A28" s="256">
        <f>COUNTA($A$15:A27)</f>
        <v>13</v>
      </c>
      <c r="B28" s="248"/>
      <c r="C28" s="203" t="s">
        <v>217</v>
      </c>
      <c r="D28" s="206" t="s">
        <v>244</v>
      </c>
      <c r="E28" s="204"/>
      <c r="F28" s="55"/>
      <c r="G28" s="55"/>
      <c r="H28" s="55"/>
      <c r="I28" s="203"/>
      <c r="J28" s="203"/>
      <c r="K28" s="352"/>
    </row>
    <row r="29" spans="1:12" ht="18" customHeight="1">
      <c r="A29" s="256">
        <f>COUNTA($A$15:A28)</f>
        <v>14</v>
      </c>
      <c r="B29" s="248"/>
      <c r="C29" s="203" t="s">
        <v>221</v>
      </c>
      <c r="D29" s="206"/>
      <c r="E29" s="204"/>
      <c r="F29" s="55"/>
      <c r="G29" s="55"/>
      <c r="H29" s="55"/>
      <c r="I29" s="203"/>
      <c r="J29" s="203"/>
      <c r="K29" s="352"/>
    </row>
    <row r="30" spans="1:12" ht="18" customHeight="1">
      <c r="A30" s="256">
        <f>COUNTA($A$15:A29)</f>
        <v>15</v>
      </c>
      <c r="B30" s="248"/>
      <c r="C30" s="203"/>
      <c r="D30" s="206"/>
      <c r="E30" s="204"/>
      <c r="F30" s="55"/>
      <c r="G30" s="55"/>
      <c r="H30" s="55"/>
      <c r="I30" s="203"/>
      <c r="J30" s="203"/>
      <c r="K30" s="352"/>
    </row>
    <row r="31" spans="1:12" ht="18" customHeight="1">
      <c r="A31" s="256">
        <f>COUNTA($A$15:A30)</f>
        <v>16</v>
      </c>
      <c r="B31" s="248"/>
      <c r="C31" s="203"/>
      <c r="D31" s="206" t="s">
        <v>248</v>
      </c>
      <c r="E31" s="204"/>
      <c r="F31" s="55"/>
      <c r="G31" s="55"/>
      <c r="H31" s="55"/>
      <c r="I31" s="203"/>
      <c r="J31" s="203"/>
      <c r="K31" s="352"/>
    </row>
    <row r="32" spans="1:12" ht="18" customHeight="1">
      <c r="A32" s="256">
        <f>COUNTA($A$15:A31)</f>
        <v>17</v>
      </c>
      <c r="B32" s="248"/>
      <c r="C32" s="203"/>
      <c r="D32" s="206"/>
      <c r="E32" s="204"/>
      <c r="F32" s="55"/>
      <c r="G32" s="55"/>
      <c r="H32" s="55"/>
      <c r="I32" s="203"/>
      <c r="J32" s="203"/>
      <c r="K32" s="352"/>
    </row>
    <row r="33" spans="1:11" ht="18" customHeight="1">
      <c r="A33" s="256">
        <f>COUNTA($A$15:A32)</f>
        <v>18</v>
      </c>
      <c r="B33" s="248"/>
      <c r="C33" s="203"/>
      <c r="D33" s="206"/>
      <c r="E33" s="204"/>
      <c r="F33" s="55"/>
      <c r="G33" s="55"/>
      <c r="H33" s="55"/>
      <c r="I33" s="203"/>
      <c r="J33" s="203"/>
      <c r="K33" s="352"/>
    </row>
    <row r="34" spans="1:11" ht="18" customHeight="1">
      <c r="A34" s="256">
        <f>COUNTA($A$15:A33)</f>
        <v>19</v>
      </c>
      <c r="B34" s="248"/>
      <c r="C34" s="203"/>
      <c r="D34" s="206"/>
      <c r="E34" s="204"/>
      <c r="F34" s="55"/>
      <c r="G34" s="55"/>
      <c r="H34" s="55"/>
      <c r="I34" s="203"/>
      <c r="J34" s="203"/>
      <c r="K34" s="352"/>
    </row>
    <row r="35" spans="1:11" ht="18" customHeight="1">
      <c r="A35" s="256">
        <f>COUNTA($A$15:A34)</f>
        <v>20</v>
      </c>
      <c r="B35" s="248"/>
      <c r="C35" s="203"/>
      <c r="D35" s="206"/>
      <c r="E35" s="204"/>
      <c r="F35" s="55"/>
      <c r="G35" s="55"/>
      <c r="H35" s="55"/>
      <c r="I35" s="203"/>
      <c r="J35" s="203"/>
      <c r="K35" s="352"/>
    </row>
    <row r="36" spans="1:11" ht="18" customHeight="1">
      <c r="A36" s="256">
        <f>COUNTA($A$15:A35)</f>
        <v>21</v>
      </c>
      <c r="B36" s="248"/>
      <c r="C36" s="203"/>
      <c r="D36" s="206"/>
      <c r="E36" s="204"/>
      <c r="F36" s="55"/>
      <c r="G36" s="55"/>
      <c r="H36" s="55"/>
      <c r="I36" s="203"/>
      <c r="J36" s="203"/>
      <c r="K36" s="352"/>
    </row>
    <row r="37" spans="1:11" ht="18" customHeight="1">
      <c r="A37" s="256">
        <f>COUNTA($A$15:A36)</f>
        <v>22</v>
      </c>
      <c r="B37" s="248"/>
      <c r="C37" s="203"/>
      <c r="D37" s="206"/>
      <c r="E37" s="204"/>
      <c r="F37" s="55"/>
      <c r="G37" s="55"/>
      <c r="H37" s="55"/>
      <c r="I37" s="203"/>
      <c r="J37" s="203"/>
      <c r="K37" s="352"/>
    </row>
    <row r="38" spans="1:11" ht="18" customHeight="1">
      <c r="A38" s="256">
        <f>COUNTA($A$15:A37)</f>
        <v>23</v>
      </c>
      <c r="B38" s="248"/>
      <c r="C38" s="203"/>
      <c r="D38" s="206" t="s">
        <v>257</v>
      </c>
      <c r="E38" s="204"/>
      <c r="F38" s="55"/>
      <c r="G38" s="55"/>
      <c r="H38" s="55"/>
      <c r="I38" s="203"/>
      <c r="J38" s="203"/>
      <c r="K38" s="352"/>
    </row>
    <row r="39" spans="1:11" ht="18" customHeight="1">
      <c r="A39" s="256">
        <f>COUNTA($A$15:A38)</f>
        <v>24</v>
      </c>
      <c r="B39" s="248"/>
      <c r="C39" s="203"/>
      <c r="D39" s="206"/>
      <c r="E39" s="204"/>
      <c r="F39" s="55"/>
      <c r="G39" s="55"/>
      <c r="H39" s="55"/>
      <c r="I39" s="203"/>
      <c r="J39" s="203"/>
      <c r="K39" s="352"/>
    </row>
    <row r="40" spans="1:11" ht="18" customHeight="1">
      <c r="A40" s="256">
        <f>COUNTA($A$15:A39)</f>
        <v>25</v>
      </c>
      <c r="B40" s="248"/>
      <c r="C40" s="203"/>
      <c r="D40" s="206"/>
      <c r="E40" s="204"/>
      <c r="F40" s="55"/>
      <c r="G40" s="55"/>
      <c r="H40" s="55"/>
      <c r="I40" s="203"/>
      <c r="J40" s="203"/>
      <c r="K40" s="352"/>
    </row>
    <row r="41" spans="1:11" ht="18" customHeight="1">
      <c r="A41" s="256">
        <f>COUNTA($A$15:A40)</f>
        <v>26</v>
      </c>
      <c r="B41" s="248"/>
      <c r="C41" s="203"/>
      <c r="D41" s="206" t="s">
        <v>260</v>
      </c>
      <c r="E41" s="204"/>
      <c r="F41" s="55"/>
      <c r="G41" s="55"/>
      <c r="H41" s="55"/>
      <c r="I41" s="203"/>
      <c r="J41" s="203"/>
      <c r="K41" s="352"/>
    </row>
    <row r="42" spans="1:11" ht="18" customHeight="1">
      <c r="A42" s="256">
        <f>COUNTA($A$15:A41)</f>
        <v>27</v>
      </c>
      <c r="B42" s="248"/>
      <c r="C42" s="203"/>
      <c r="D42" s="206"/>
      <c r="E42" s="204"/>
      <c r="F42" s="55"/>
      <c r="G42" s="55"/>
      <c r="H42" s="55"/>
      <c r="I42" s="203"/>
      <c r="J42" s="203"/>
      <c r="K42" s="352"/>
    </row>
    <row r="43" spans="1:11" ht="18" customHeight="1">
      <c r="A43" s="256">
        <f>COUNTA($A$15:A42)</f>
        <v>28</v>
      </c>
      <c r="B43" s="248"/>
      <c r="C43" s="203"/>
      <c r="D43" s="206"/>
      <c r="E43" s="204"/>
      <c r="F43" s="55"/>
      <c r="G43" s="55"/>
      <c r="H43" s="55"/>
      <c r="I43" s="203"/>
      <c r="J43" s="203"/>
      <c r="K43" s="352"/>
    </row>
    <row r="44" spans="1:11" ht="18" customHeight="1">
      <c r="A44" s="256">
        <f>COUNTA($A$15:A43)</f>
        <v>29</v>
      </c>
      <c r="B44" s="248"/>
      <c r="C44" s="203"/>
      <c r="D44" s="206"/>
      <c r="E44" s="204"/>
      <c r="F44" s="55"/>
      <c r="G44" s="55"/>
      <c r="H44" s="55"/>
      <c r="I44" s="203"/>
      <c r="J44" s="203"/>
      <c r="K44" s="352"/>
    </row>
    <row r="45" spans="1:11" ht="18" customHeight="1">
      <c r="A45" s="256">
        <f>COUNTA($A$15:A44)</f>
        <v>30</v>
      </c>
      <c r="B45" s="248"/>
      <c r="C45" s="203"/>
      <c r="D45" s="206"/>
      <c r="E45" s="204"/>
      <c r="F45" s="55"/>
      <c r="G45" s="55"/>
      <c r="H45" s="55"/>
      <c r="I45" s="203"/>
      <c r="J45" s="203"/>
      <c r="K45" s="352"/>
    </row>
    <row r="46" spans="1:11" ht="18" customHeight="1">
      <c r="A46" s="256">
        <f>COUNTA($A$15:A45)</f>
        <v>31</v>
      </c>
      <c r="B46" s="248"/>
      <c r="C46" s="203"/>
      <c r="D46" s="206"/>
      <c r="E46" s="204"/>
      <c r="F46" s="55"/>
      <c r="G46" s="55"/>
      <c r="H46" s="55"/>
      <c r="I46" s="203"/>
      <c r="J46" s="203"/>
      <c r="K46" s="352"/>
    </row>
    <row r="47" spans="1:11" ht="18" customHeight="1">
      <c r="A47" s="256">
        <f>COUNTA($A$15:A46)</f>
        <v>32</v>
      </c>
      <c r="B47" s="248"/>
      <c r="C47" s="203"/>
      <c r="D47" s="206"/>
      <c r="E47" s="204"/>
      <c r="F47" s="55"/>
      <c r="G47" s="55"/>
      <c r="H47" s="55"/>
      <c r="I47" s="203"/>
      <c r="J47" s="203"/>
      <c r="K47" s="352"/>
    </row>
    <row r="48" spans="1:11" ht="18" customHeight="1">
      <c r="A48" s="256">
        <f>COUNTA($A$15:A47)</f>
        <v>33</v>
      </c>
      <c r="B48" s="248"/>
      <c r="C48" s="203"/>
      <c r="D48" s="206"/>
      <c r="E48" s="204"/>
      <c r="F48" s="55"/>
      <c r="G48" s="55"/>
      <c r="H48" s="55"/>
      <c r="I48" s="203"/>
      <c r="J48" s="203"/>
      <c r="K48" s="352"/>
    </row>
    <row r="49" spans="1:11" ht="18" customHeight="1">
      <c r="A49" s="256">
        <f>COUNTA($A$15:A48)</f>
        <v>34</v>
      </c>
      <c r="B49" s="248"/>
      <c r="C49" s="203"/>
      <c r="D49" s="206"/>
      <c r="E49" s="204"/>
      <c r="F49" s="55"/>
      <c r="G49" s="55"/>
      <c r="H49" s="55"/>
      <c r="I49" s="203"/>
      <c r="J49" s="203"/>
      <c r="K49" s="352"/>
    </row>
    <row r="50" spans="1:11" ht="18" customHeight="1">
      <c r="A50" s="256">
        <f>COUNTA($A$15:A49)</f>
        <v>35</v>
      </c>
      <c r="B50" s="248"/>
      <c r="C50" s="203"/>
      <c r="D50" s="206"/>
      <c r="E50" s="204"/>
      <c r="F50" s="55"/>
      <c r="G50" s="55"/>
      <c r="H50" s="55"/>
      <c r="I50" s="203"/>
      <c r="J50" s="203"/>
      <c r="K50" s="352"/>
    </row>
    <row r="51" spans="1:11" ht="18" customHeight="1">
      <c r="A51" s="256">
        <f>COUNTA($A$15:A50)</f>
        <v>36</v>
      </c>
      <c r="B51" s="248"/>
      <c r="C51" s="203"/>
      <c r="D51" s="206"/>
      <c r="E51" s="204"/>
      <c r="F51" s="55"/>
      <c r="G51" s="55"/>
      <c r="H51" s="55"/>
      <c r="I51" s="203"/>
      <c r="J51" s="203"/>
      <c r="K51" s="352"/>
    </row>
    <row r="52" spans="1:11" ht="18" customHeight="1">
      <c r="A52" s="256">
        <f>COUNTA($A$15:A51)</f>
        <v>37</v>
      </c>
      <c r="B52" s="248"/>
      <c r="C52" s="203"/>
      <c r="D52" s="206"/>
      <c r="E52" s="204"/>
      <c r="F52" s="55"/>
      <c r="G52" s="55"/>
      <c r="H52" s="55"/>
      <c r="I52" s="203"/>
      <c r="J52" s="203"/>
      <c r="K52" s="352"/>
    </row>
    <row r="53" spans="1:11" ht="18" customHeight="1">
      <c r="A53" s="256">
        <f>COUNTA($A$15:A52)</f>
        <v>38</v>
      </c>
      <c r="B53" s="248"/>
      <c r="C53" s="203"/>
      <c r="D53" s="206"/>
      <c r="E53" s="204"/>
      <c r="F53" s="55"/>
      <c r="G53" s="55"/>
      <c r="H53" s="55"/>
      <c r="I53" s="203"/>
      <c r="J53" s="203"/>
      <c r="K53" s="352"/>
    </row>
    <row r="54" spans="1:11" ht="18" customHeight="1">
      <c r="A54" s="256">
        <f>COUNTA($A$15:A53)</f>
        <v>39</v>
      </c>
      <c r="B54" s="248"/>
      <c r="C54" s="203"/>
      <c r="D54" s="206"/>
      <c r="E54" s="204"/>
      <c r="F54" s="55"/>
      <c r="G54" s="55"/>
      <c r="H54" s="55"/>
      <c r="I54" s="203"/>
      <c r="J54" s="203"/>
      <c r="K54" s="352"/>
    </row>
    <row r="55" spans="1:11" ht="18" customHeight="1">
      <c r="A55" s="256">
        <f>COUNTA($A$15:A54)</f>
        <v>40</v>
      </c>
      <c r="B55" s="248"/>
      <c r="C55" s="203"/>
      <c r="D55" s="206"/>
      <c r="E55" s="204"/>
      <c r="F55" s="55"/>
      <c r="G55" s="55"/>
      <c r="H55" s="55"/>
      <c r="I55" s="203"/>
      <c r="J55" s="203"/>
      <c r="K55" s="352"/>
    </row>
    <row r="56" spans="1:11" ht="18" customHeight="1">
      <c r="A56" s="256">
        <f>COUNTA($A$15:A55)</f>
        <v>41</v>
      </c>
      <c r="B56" s="248"/>
      <c r="C56" s="203"/>
      <c r="D56" s="206"/>
      <c r="E56" s="204"/>
      <c r="F56" s="55"/>
      <c r="G56" s="55"/>
      <c r="H56" s="55"/>
      <c r="I56" s="203"/>
      <c r="J56" s="203"/>
      <c r="K56" s="352"/>
    </row>
    <row r="57" spans="1:11" ht="18" customHeight="1">
      <c r="A57" s="256">
        <f>COUNTA($A$15:A56)</f>
        <v>42</v>
      </c>
      <c r="B57" s="248"/>
      <c r="C57" s="203"/>
      <c r="D57" s="206"/>
      <c r="E57" s="204"/>
      <c r="F57" s="55"/>
      <c r="G57" s="55"/>
      <c r="H57" s="55"/>
      <c r="I57" s="203"/>
      <c r="J57" s="203"/>
      <c r="K57" s="352"/>
    </row>
    <row r="58" spans="1:11" ht="18" customHeight="1">
      <c r="A58" s="256">
        <f>COUNTA($A$15:A57)</f>
        <v>43</v>
      </c>
      <c r="B58" s="248"/>
      <c r="C58" s="203"/>
      <c r="D58" s="206"/>
      <c r="E58" s="204"/>
      <c r="F58" s="55"/>
      <c r="G58" s="55"/>
      <c r="H58" s="55"/>
      <c r="I58" s="203"/>
      <c r="J58" s="203"/>
      <c r="K58" s="352"/>
    </row>
    <row r="59" spans="1:11" ht="18" customHeight="1">
      <c r="A59" s="256">
        <f>COUNTA($A$15:A58)</f>
        <v>44</v>
      </c>
      <c r="B59" s="248"/>
      <c r="C59" s="203"/>
      <c r="D59" s="206"/>
      <c r="E59" s="204"/>
      <c r="F59" s="55"/>
      <c r="G59" s="55"/>
      <c r="H59" s="55"/>
      <c r="I59" s="203"/>
      <c r="J59" s="203"/>
      <c r="K59" s="352"/>
    </row>
    <row r="60" spans="1:11" ht="18" customHeight="1">
      <c r="A60" s="256">
        <f>COUNTA($A$15:A59)</f>
        <v>45</v>
      </c>
      <c r="B60" s="210"/>
      <c r="C60" s="203"/>
      <c r="D60" s="206"/>
      <c r="E60" s="204"/>
      <c r="F60" s="55"/>
      <c r="G60" s="55"/>
      <c r="H60" s="350"/>
      <c r="I60" s="210"/>
      <c r="J60" s="203"/>
      <c r="K60" s="352"/>
    </row>
    <row r="61" spans="1:11" ht="18" customHeight="1">
      <c r="A61" s="256">
        <f>COUNTA($A$15:A60)</f>
        <v>46</v>
      </c>
      <c r="B61" s="210"/>
      <c r="C61" s="203"/>
      <c r="D61" s="206"/>
      <c r="E61" s="204"/>
      <c r="F61" s="55"/>
      <c r="G61" s="55"/>
      <c r="H61" s="55"/>
      <c r="I61" s="203"/>
      <c r="J61" s="203"/>
      <c r="K61" s="352"/>
    </row>
    <row r="62" spans="1:11" ht="18" customHeight="1">
      <c r="A62" s="256">
        <f>COUNTA($A$15:A61)</f>
        <v>47</v>
      </c>
      <c r="B62" s="210"/>
      <c r="C62" s="204"/>
      <c r="D62" s="206"/>
      <c r="E62" s="204"/>
      <c r="F62" s="55"/>
      <c r="G62" s="55"/>
      <c r="H62" s="55"/>
      <c r="I62" s="203"/>
      <c r="J62" s="203"/>
      <c r="K62" s="352"/>
    </row>
    <row r="63" spans="1:11" ht="18" customHeight="1">
      <c r="A63" s="256">
        <f>COUNTA($A$15:A62)</f>
        <v>48</v>
      </c>
      <c r="B63" s="249"/>
      <c r="C63" s="205"/>
      <c r="D63" s="208"/>
      <c r="E63" s="208"/>
      <c r="F63" s="351"/>
      <c r="G63" s="351"/>
      <c r="H63" s="348"/>
      <c r="I63" s="205"/>
      <c r="J63" s="355"/>
      <c r="K63" s="354"/>
    </row>
    <row r="64" spans="1:11">
      <c r="A64" s="259"/>
      <c r="B64" s="260"/>
      <c r="C64" s="260"/>
      <c r="D64" s="261"/>
      <c r="E64" s="260"/>
      <c r="F64" s="25"/>
      <c r="G64" s="25"/>
      <c r="H64" s="25"/>
      <c r="I64" s="260"/>
      <c r="J64" s="260"/>
      <c r="K64" s="197"/>
    </row>
    <row r="65" spans="1:11">
      <c r="A65" s="510" t="s">
        <v>182</v>
      </c>
      <c r="B65" s="511"/>
      <c r="C65" s="511"/>
      <c r="D65" s="511"/>
      <c r="E65" s="511"/>
      <c r="F65" s="511"/>
      <c r="G65" s="511"/>
      <c r="H65" s="511"/>
      <c r="I65" s="511"/>
      <c r="J65" s="512"/>
      <c r="K65" s="513"/>
    </row>
    <row r="66" spans="1:11">
      <c r="A66" s="7" t="s">
        <v>44</v>
      </c>
      <c r="B66" s="8" t="s">
        <v>188</v>
      </c>
      <c r="C66" s="9"/>
      <c r="D66" s="8"/>
      <c r="E66" s="9"/>
      <c r="F66" s="9"/>
      <c r="G66" s="9"/>
      <c r="H66" s="9"/>
      <c r="I66" s="9"/>
      <c r="J66" s="9"/>
      <c r="K66" s="10"/>
    </row>
    <row r="67" spans="1:11">
      <c r="A67" s="11" t="s">
        <v>45</v>
      </c>
      <c r="B67" s="12" t="s">
        <v>187</v>
      </c>
      <c r="C67" s="13"/>
      <c r="D67" s="12"/>
      <c r="E67" s="14"/>
      <c r="F67" s="14"/>
      <c r="G67" s="14"/>
      <c r="H67" s="14"/>
      <c r="I67" s="14"/>
      <c r="J67" s="14"/>
      <c r="K67" s="358"/>
    </row>
    <row r="68" spans="1:11">
      <c r="A68" s="11" t="s">
        <v>46</v>
      </c>
      <c r="B68" s="12" t="s">
        <v>185</v>
      </c>
      <c r="C68" s="13"/>
      <c r="D68" s="12"/>
      <c r="E68" s="14"/>
      <c r="F68" s="14"/>
      <c r="G68" s="14"/>
      <c r="H68" s="14"/>
      <c r="I68" s="14"/>
      <c r="J68" s="14"/>
      <c r="K68" s="358"/>
    </row>
    <row r="69" spans="1:11" ht="24" customHeight="1">
      <c r="A69" s="15" t="s">
        <v>47</v>
      </c>
      <c r="B69" s="16" t="s">
        <v>186</v>
      </c>
      <c r="C69" s="17"/>
      <c r="D69" s="146"/>
      <c r="E69" s="18"/>
      <c r="F69" s="18"/>
      <c r="G69" s="18"/>
      <c r="H69" s="18"/>
      <c r="I69" s="18"/>
      <c r="J69" s="18"/>
      <c r="K69" s="359"/>
    </row>
    <row r="70" spans="1:11" ht="6" customHeight="1">
      <c r="A70" s="24"/>
      <c r="K70" s="258"/>
    </row>
    <row r="71" spans="1:11">
      <c r="A71" s="488" t="s">
        <v>183</v>
      </c>
      <c r="B71" s="488"/>
      <c r="C71" s="488"/>
      <c r="D71" s="488"/>
      <c r="E71" s="510" t="s">
        <v>184</v>
      </c>
      <c r="F71" s="511"/>
      <c r="G71" s="511"/>
      <c r="H71" s="511"/>
      <c r="I71" s="511"/>
      <c r="J71" s="511"/>
      <c r="K71" s="514"/>
    </row>
    <row r="72" spans="1:11">
      <c r="A72" s="493"/>
      <c r="B72" s="493"/>
      <c r="C72" s="493"/>
      <c r="D72" s="493"/>
      <c r="E72" s="356" t="s">
        <v>189</v>
      </c>
      <c r="F72" s="20"/>
      <c r="G72" s="20"/>
      <c r="H72" s="357" t="s">
        <v>192</v>
      </c>
    </row>
    <row r="73" spans="1:11">
      <c r="A73" s="493"/>
      <c r="B73" s="493"/>
      <c r="C73" s="493"/>
      <c r="D73" s="493"/>
      <c r="E73" s="338" t="s">
        <v>190</v>
      </c>
      <c r="F73" s="19"/>
      <c r="G73" s="19"/>
      <c r="H73" s="339" t="s">
        <v>191</v>
      </c>
      <c r="I73" s="19"/>
      <c r="J73" s="25"/>
      <c r="K73" s="25"/>
    </row>
    <row r="74" spans="1:11" ht="6" customHeight="1">
      <c r="A74" s="24"/>
      <c r="K74" s="258"/>
    </row>
    <row r="75" spans="1:11">
      <c r="A75" s="520" t="s">
        <v>36</v>
      </c>
      <c r="B75" s="521"/>
      <c r="C75" s="521"/>
      <c r="D75" s="521"/>
      <c r="E75" s="521"/>
      <c r="F75" s="521"/>
      <c r="G75" s="521"/>
      <c r="H75" s="521"/>
      <c r="I75" s="521"/>
      <c r="J75" s="521"/>
      <c r="K75" s="522"/>
    </row>
    <row r="76" spans="1:11">
      <c r="A76" s="488" t="s">
        <v>176</v>
      </c>
      <c r="B76" s="488"/>
      <c r="C76" s="251" t="s">
        <v>177</v>
      </c>
      <c r="D76" s="252" t="s">
        <v>178</v>
      </c>
      <c r="E76" s="194" t="s">
        <v>179</v>
      </c>
      <c r="F76" s="251" t="s">
        <v>180</v>
      </c>
      <c r="G76" s="252"/>
      <c r="H76" s="510" t="s">
        <v>181</v>
      </c>
      <c r="I76" s="511"/>
      <c r="J76" s="511"/>
      <c r="K76" s="514"/>
    </row>
    <row r="77" spans="1:11">
      <c r="A77" s="21"/>
      <c r="B77" s="22"/>
      <c r="C77" s="486"/>
      <c r="D77" s="147"/>
      <c r="E77" s="195"/>
      <c r="F77" s="253"/>
      <c r="G77" s="341"/>
      <c r="H77" s="515"/>
      <c r="I77" s="516"/>
      <c r="J77" s="516"/>
      <c r="K77" s="517"/>
    </row>
    <row r="78" spans="1:11">
      <c r="A78" s="491"/>
      <c r="B78" s="492"/>
      <c r="C78" s="487"/>
      <c r="D78" s="148"/>
      <c r="E78" s="196"/>
      <c r="F78" s="250"/>
      <c r="G78" s="342"/>
      <c r="H78" s="491"/>
      <c r="I78" s="518"/>
      <c r="J78" s="518"/>
      <c r="K78" s="492"/>
    </row>
    <row r="80" spans="1:11">
      <c r="A80" s="20"/>
      <c r="B80" s="20"/>
      <c r="C80" s="20"/>
      <c r="D80" s="149"/>
    </row>
  </sheetData>
  <mergeCells count="31">
    <mergeCell ref="A65:K65"/>
    <mergeCell ref="E71:K71"/>
    <mergeCell ref="H77:K78"/>
    <mergeCell ref="F15:H15"/>
    <mergeCell ref="J10:K10"/>
    <mergeCell ref="J11:K11"/>
    <mergeCell ref="J12:K12"/>
    <mergeCell ref="J13:K13"/>
    <mergeCell ref="A75:K75"/>
    <mergeCell ref="H76:K76"/>
    <mergeCell ref="C8:D8"/>
    <mergeCell ref="C9:D9"/>
    <mergeCell ref="C10:D10"/>
    <mergeCell ref="F6:H10"/>
    <mergeCell ref="F13:H13"/>
    <mergeCell ref="C2:E2"/>
    <mergeCell ref="H2:J4"/>
    <mergeCell ref="C77:C78"/>
    <mergeCell ref="A71:D71"/>
    <mergeCell ref="C13:D13"/>
    <mergeCell ref="A78:B78"/>
    <mergeCell ref="A72:D73"/>
    <mergeCell ref="J6:K6"/>
    <mergeCell ref="J7:K7"/>
    <mergeCell ref="J8:K8"/>
    <mergeCell ref="J9:K9"/>
    <mergeCell ref="A76:B76"/>
    <mergeCell ref="C11:D11"/>
    <mergeCell ref="C12:D12"/>
    <mergeCell ref="C6:D6"/>
    <mergeCell ref="C7:D7"/>
  </mergeCells>
  <conditionalFormatting sqref="F11:G11">
    <cfRule type="containsText" dxfId="0" priority="1" operator="containsText" text="URGENT">
      <formula>NOT(ISERROR(SEARCH("URGENT",F11)))</formula>
    </cfRule>
  </conditionalFormatting>
  <dataValidations count="1">
    <dataValidation type="list" allowBlank="1" showInputMessage="1" showErrorMessage="1" sqref="F11">
      <formula1>"Normal, Urgent,Very Urgent, Top Urgent"</formula1>
    </dataValidation>
  </dataValidations>
  <printOptions horizontalCentered="1"/>
  <pageMargins left="0" right="0" top="0.35433070866141736" bottom="0.35433070866141736" header="0.31496062992125984" footer="3.937007874015748E-2"/>
  <pageSetup paperSize="9" scale="90" orientation="landscape" r:id="rId1"/>
  <headerFooter>
    <oddFooter>&amp;L&amp;9
      MI-FR-LAB-8.5.3-01.01; Rev.10; 31 Desember 2025&amp;C
&amp;10Page &amp;P of &amp;N&amp;R&amp;"-,Italic"&amp;10
&amp;9White: Laboratory; Red: Marketing-Finance; Yellow: Customer  &amp;10  .</oddFooter>
  </headerFooter>
  <rowBreaks count="1" manualBreakCount="1">
    <brk id="64" max="9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37"/>
  <sheetViews>
    <sheetView showGridLines="0" view="pageBreakPreview" zoomScale="98" zoomScaleNormal="100" zoomScaleSheetLayoutView="98" workbookViewId="0">
      <selection activeCell="I41" sqref="I41"/>
    </sheetView>
  </sheetViews>
  <sheetFormatPr defaultRowHeight="15"/>
  <cols>
    <col min="1" max="1" width="3.5703125" customWidth="1"/>
    <col min="2" max="2" width="12.5703125" customWidth="1"/>
    <col min="3" max="3" width="27.42578125" customWidth="1"/>
    <col min="4" max="4" width="17" customWidth="1"/>
    <col min="5" max="5" width="26.5703125" customWidth="1"/>
    <col min="6" max="6" width="11.42578125" customWidth="1"/>
    <col min="7" max="7" width="8.5703125" customWidth="1"/>
  </cols>
  <sheetData>
    <row r="1" spans="1:9" ht="18.75">
      <c r="A1" s="524" t="s">
        <v>33</v>
      </c>
      <c r="B1" s="524"/>
      <c r="C1" s="524"/>
      <c r="D1" s="524"/>
      <c r="E1" s="524"/>
    </row>
    <row r="2" spans="1:9" ht="24.75" customHeight="1">
      <c r="A2" s="525" t="s">
        <v>88</v>
      </c>
      <c r="B2" s="525"/>
      <c r="C2" s="525"/>
      <c r="D2" s="525"/>
      <c r="E2" s="525"/>
      <c r="I2" s="116"/>
    </row>
    <row r="3" spans="1:9" ht="24.75" customHeight="1">
      <c r="A3" s="525" t="s">
        <v>89</v>
      </c>
      <c r="B3" s="525"/>
      <c r="C3" s="525"/>
      <c r="D3" s="525"/>
      <c r="E3" s="525"/>
      <c r="I3" s="116"/>
    </row>
    <row r="4" spans="1:9">
      <c r="A4" s="117" t="s">
        <v>87</v>
      </c>
      <c r="I4" s="118"/>
    </row>
    <row r="5" spans="1:9" ht="10.5" customHeight="1" thickBot="1">
      <c r="A5" s="119"/>
      <c r="B5" s="119"/>
      <c r="C5" s="120"/>
      <c r="D5" s="120"/>
      <c r="E5" s="120"/>
      <c r="F5" s="121"/>
      <c r="G5" s="121"/>
      <c r="H5" s="121"/>
      <c r="I5" s="118"/>
    </row>
    <row r="6" spans="1:9" ht="12.75" customHeight="1">
      <c r="C6" s="117"/>
      <c r="D6" s="117"/>
      <c r="E6" s="117"/>
      <c r="F6" s="118"/>
      <c r="G6" s="118"/>
      <c r="H6" s="118"/>
      <c r="I6" s="118"/>
    </row>
    <row r="7" spans="1:9" ht="18.75">
      <c r="A7" s="526" t="s">
        <v>146</v>
      </c>
      <c r="B7" s="526"/>
      <c r="C7" s="526"/>
      <c r="D7" s="526"/>
      <c r="E7" s="526"/>
      <c r="F7" s="526"/>
      <c r="G7" s="526"/>
      <c r="H7" s="526"/>
      <c r="I7" s="26"/>
    </row>
    <row r="8" spans="1:9">
      <c r="A8" s="527" t="s">
        <v>147</v>
      </c>
      <c r="B8" s="527"/>
      <c r="C8" s="527"/>
      <c r="D8" s="527"/>
      <c r="E8" s="527"/>
      <c r="F8" s="527"/>
      <c r="G8" s="527"/>
      <c r="H8" s="527"/>
    </row>
    <row r="10" spans="1:9">
      <c r="A10" t="s">
        <v>116</v>
      </c>
    </row>
    <row r="11" spans="1:9">
      <c r="B11" t="s">
        <v>38</v>
      </c>
      <c r="C11" s="122" t="s">
        <v>1</v>
      </c>
      <c r="D11" s="136" t="s">
        <v>144</v>
      </c>
      <c r="E11" s="28"/>
    </row>
    <row r="12" spans="1:9">
      <c r="B12" t="s">
        <v>39</v>
      </c>
      <c r="C12" s="122" t="s">
        <v>1</v>
      </c>
      <c r="D12" s="135" t="s">
        <v>145</v>
      </c>
      <c r="E12" s="123"/>
    </row>
    <row r="13" spans="1:9" ht="9" customHeight="1">
      <c r="C13" s="1"/>
      <c r="D13" s="1"/>
      <c r="E13" s="1"/>
    </row>
    <row r="14" spans="1:9">
      <c r="A14" t="s">
        <v>40</v>
      </c>
      <c r="C14" s="1"/>
      <c r="D14" s="1"/>
      <c r="E14" s="1"/>
    </row>
    <row r="15" spans="1:9" ht="21" customHeight="1">
      <c r="A15" s="124" t="s">
        <v>2</v>
      </c>
      <c r="B15" s="523" t="s">
        <v>38</v>
      </c>
      <c r="C15" s="523"/>
      <c r="D15" s="523" t="s">
        <v>39</v>
      </c>
      <c r="E15" s="523"/>
    </row>
    <row r="16" spans="1:9" s="126" customFormat="1" ht="29.25" customHeight="1">
      <c r="A16" s="125">
        <v>1</v>
      </c>
      <c r="B16" s="529"/>
      <c r="C16" s="529"/>
      <c r="D16" s="530" t="s">
        <v>118</v>
      </c>
      <c r="E16" s="530"/>
    </row>
    <row r="17" spans="1:5" s="126" customFormat="1" ht="29.25" customHeight="1">
      <c r="A17" s="125">
        <v>2</v>
      </c>
      <c r="B17" s="529"/>
      <c r="C17" s="529"/>
      <c r="D17" s="530" t="s">
        <v>118</v>
      </c>
      <c r="E17" s="530"/>
    </row>
    <row r="18" spans="1:5" s="126" customFormat="1" ht="29.25" customHeight="1">
      <c r="A18" s="125">
        <v>3</v>
      </c>
      <c r="B18" s="529"/>
      <c r="C18" s="529"/>
      <c r="D18" s="530" t="s">
        <v>118</v>
      </c>
      <c r="E18" s="530"/>
    </row>
    <row r="19" spans="1:5" s="126" customFormat="1" ht="29.25" customHeight="1">
      <c r="A19" s="125">
        <v>4</v>
      </c>
      <c r="B19" s="529"/>
      <c r="C19" s="529"/>
      <c r="D19" s="530" t="s">
        <v>118</v>
      </c>
      <c r="E19" s="530"/>
    </row>
    <row r="20" spans="1:5" ht="8.25" customHeight="1">
      <c r="A20" s="1"/>
    </row>
    <row r="21" spans="1:5">
      <c r="A21" t="s">
        <v>148</v>
      </c>
    </row>
    <row r="23" spans="1:5" ht="18.75">
      <c r="D23" s="531" t="str">
        <f>'3 COC'!I9</f>
        <v>No. COC</v>
      </c>
      <c r="E23" s="532"/>
    </row>
    <row r="24" spans="1:5">
      <c r="A24" s="128"/>
    </row>
    <row r="25" spans="1:5">
      <c r="A25" s="128"/>
    </row>
    <row r="26" spans="1:5">
      <c r="A26" s="128"/>
    </row>
    <row r="27" spans="1:5">
      <c r="A27" t="s">
        <v>41</v>
      </c>
      <c r="C27" s="1"/>
    </row>
    <row r="28" spans="1:5">
      <c r="C28" s="1"/>
    </row>
    <row r="29" spans="1:5">
      <c r="C29" s="1"/>
    </row>
    <row r="30" spans="1:5">
      <c r="B30" s="122" t="s">
        <v>5</v>
      </c>
      <c r="C30" s="129"/>
    </row>
    <row r="31" spans="1:5">
      <c r="B31" s="533" t="s">
        <v>42</v>
      </c>
      <c r="C31" s="533"/>
    </row>
    <row r="32" spans="1:5">
      <c r="B32" s="127"/>
    </row>
    <row r="33" spans="2:3">
      <c r="B33" s="127"/>
    </row>
    <row r="34" spans="2:3">
      <c r="B34" s="127"/>
    </row>
    <row r="35" spans="2:3">
      <c r="B35" s="534" t="str">
        <f>D11</f>
        <v>Elok Dian K</v>
      </c>
      <c r="C35" s="534"/>
    </row>
    <row r="36" spans="2:3">
      <c r="B36" s="528" t="str">
        <f>D12</f>
        <v>Manajer Teknik</v>
      </c>
      <c r="C36" s="528"/>
    </row>
    <row r="37" spans="2:3">
      <c r="C37" s="1"/>
    </row>
  </sheetData>
  <mergeCells count="19">
    <mergeCell ref="B36:C36"/>
    <mergeCell ref="B16:C16"/>
    <mergeCell ref="D16:E16"/>
    <mergeCell ref="B17:C17"/>
    <mergeCell ref="D17:E17"/>
    <mergeCell ref="B18:C18"/>
    <mergeCell ref="D18:E18"/>
    <mergeCell ref="B19:C19"/>
    <mergeCell ref="D19:E19"/>
    <mergeCell ref="D23:E23"/>
    <mergeCell ref="B31:C31"/>
    <mergeCell ref="B35:C35"/>
    <mergeCell ref="B15:C15"/>
    <mergeCell ref="D15:E15"/>
    <mergeCell ref="A1:E1"/>
    <mergeCell ref="A2:E2"/>
    <mergeCell ref="A3:E3"/>
    <mergeCell ref="A7:H7"/>
    <mergeCell ref="A8:H8"/>
  </mergeCells>
  <pageMargins left="0.23622047244094499" right="0.31496062992126" top="0.55118110236220497" bottom="0.74803149606299202" header="0.31496062992126" footer="0.31496062992126"/>
  <pageSetup paperSize="9" scale="85" orientation="portrait" r:id="rId1"/>
  <headerFooter>
    <oddFooter>&amp;LMI-FR-HRD-7.1.2-01.10; Rev.01; 23 September 2024&amp;R&amp;P dari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14"/>
  <sheetViews>
    <sheetView showGridLines="0" workbookViewId="0">
      <selection activeCell="G21" sqref="G21"/>
    </sheetView>
  </sheetViews>
  <sheetFormatPr defaultRowHeight="15"/>
  <cols>
    <col min="1" max="1" width="6" customWidth="1"/>
  </cols>
  <sheetData>
    <row r="3" spans="1:14">
      <c r="K3" s="535" t="s">
        <v>207</v>
      </c>
      <c r="L3" s="535"/>
      <c r="M3" s="535"/>
      <c r="N3" s="535"/>
    </row>
    <row r="4" spans="1:14">
      <c r="K4" s="535"/>
      <c r="L4" s="535"/>
      <c r="M4" s="535"/>
      <c r="N4" s="535"/>
    </row>
    <row r="6" spans="1:14">
      <c r="K6" s="378"/>
      <c r="L6" s="379"/>
      <c r="M6" s="379"/>
      <c r="N6" s="380"/>
    </row>
    <row r="7" spans="1:14" ht="15.75">
      <c r="K7" s="381"/>
      <c r="L7" s="386" t="str">
        <f>'2 Quotation'!J10</f>
        <v>DC.001.2401085</v>
      </c>
      <c r="N7" s="382"/>
    </row>
    <row r="8" spans="1:14">
      <c r="K8" s="383"/>
      <c r="L8" s="384"/>
      <c r="M8" s="384"/>
      <c r="N8" s="385"/>
    </row>
    <row r="10" spans="1:14">
      <c r="A10" s="377" t="s">
        <v>208</v>
      </c>
    </row>
    <row r="11" spans="1:14">
      <c r="A11" t="str">
        <f>'1 Customer Information'!B10</f>
        <v>PT CONTOH</v>
      </c>
    </row>
    <row r="12" spans="1:14">
      <c r="A12" t="str">
        <f>'1 Customer Information'!B11</f>
        <v>Jl. Jatiwangi No 44 kamurang</v>
      </c>
    </row>
    <row r="13" spans="1:14">
      <c r="A13" t="s">
        <v>209</v>
      </c>
      <c r="B13" s="387" t="str">
        <f>'1 Customer Information'!B13</f>
        <v>Ibu Lia</v>
      </c>
    </row>
    <row r="14" spans="1:14">
      <c r="A14" t="s">
        <v>210</v>
      </c>
      <c r="B14" t="str">
        <f>'1 Customer Information'!B14</f>
        <v>lia@medialab.co.id</v>
      </c>
    </row>
  </sheetData>
  <mergeCells count="1">
    <mergeCell ref="K3:N4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1 Customer Information</vt:lpstr>
      <vt:lpstr>2 Quotation (lama)</vt:lpstr>
      <vt:lpstr>2 Quotation</vt:lpstr>
      <vt:lpstr>3 COC</vt:lpstr>
      <vt:lpstr>4 STPS</vt:lpstr>
      <vt:lpstr>5 INVOICE</vt:lpstr>
      <vt:lpstr>'1 Customer Information'!Print_Area</vt:lpstr>
      <vt:lpstr>'2 Quotation'!Print_Area</vt:lpstr>
      <vt:lpstr>'2 Quotation (lama)'!Print_Area</vt:lpstr>
      <vt:lpstr>'3 COC'!Print_Area</vt:lpstr>
      <vt:lpstr>'4 STPS'!Print_Area</vt:lpstr>
      <vt:lpstr>'2 Quotation'!Print_Titles</vt:lpstr>
      <vt:lpstr>'2 Quotation (lama)'!Print_Titles</vt:lpstr>
      <vt:lpstr>'3 COC'!Print_Titles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nadya</dc:creator>
  <cp:lastModifiedBy>Lia</cp:lastModifiedBy>
  <cp:lastPrinted>2026-06-05T06:14:07Z</cp:lastPrinted>
  <dcterms:created xsi:type="dcterms:W3CDTF">2017-07-04T09:26:21Z</dcterms:created>
  <dcterms:modified xsi:type="dcterms:W3CDTF">2026-06-05T06:19:04Z</dcterms:modified>
</cp:coreProperties>
</file>